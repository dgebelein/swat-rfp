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Projekte\swat\swat\"/>
    </mc:Choice>
  </mc:AlternateContent>
  <bookViews>
    <workbookView minimized="1" xWindow="0" yWindow="0" windowWidth="28800" windowHeight="12975" firstSheet="4" activeTab="4"/>
  </bookViews>
  <sheets>
    <sheet name="transition" sheetId="1" r:id="rId1"/>
    <sheet name="ästivation" sheetId="2" r:id="rId2"/>
    <sheet name="Entwicklungsfunktionen" sheetId="3" r:id="rId3"/>
    <sheet name="Fertilität" sheetId="4" r:id="rId4"/>
    <sheet name="spielkram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3" i="2"/>
  <c r="G4" i="2"/>
  <c r="G5" i="2"/>
  <c r="G6" i="2"/>
  <c r="G7" i="2"/>
  <c r="G8" i="2"/>
  <c r="G9" i="2"/>
  <c r="G10" i="2"/>
  <c r="G11" i="2"/>
  <c r="G12" i="2"/>
  <c r="G13" i="2"/>
  <c r="E11" i="5"/>
  <c r="E15" i="5"/>
  <c r="E19" i="5"/>
  <c r="E23" i="5"/>
  <c r="E27" i="5"/>
  <c r="E31" i="5"/>
  <c r="E35" i="5"/>
  <c r="E39" i="5"/>
  <c r="E43" i="5"/>
  <c r="E47" i="5"/>
  <c r="E17" i="5"/>
  <c r="E25" i="5"/>
  <c r="E33" i="5"/>
  <c r="E41" i="5"/>
  <c r="E49" i="5"/>
  <c r="E14" i="5"/>
  <c r="E26" i="5"/>
  <c r="E34" i="5"/>
  <c r="E42" i="5"/>
  <c r="E12" i="5"/>
  <c r="E16" i="5"/>
  <c r="E20" i="5"/>
  <c r="E24" i="5"/>
  <c r="E28" i="5"/>
  <c r="E32" i="5"/>
  <c r="E36" i="5"/>
  <c r="E40" i="5"/>
  <c r="E44" i="5"/>
  <c r="E48" i="5"/>
  <c r="E13" i="5"/>
  <c r="E21" i="5"/>
  <c r="E29" i="5"/>
  <c r="E37" i="5"/>
  <c r="E45" i="5"/>
  <c r="E10" i="5"/>
  <c r="E18" i="5"/>
  <c r="E22" i="5"/>
  <c r="E30" i="5"/>
  <c r="E38" i="5"/>
  <c r="E46" i="5"/>
  <c r="E9" i="5"/>
  <c r="D23" i="5"/>
  <c r="D39" i="5"/>
  <c r="D21" i="5"/>
  <c r="D10" i="5"/>
  <c r="D42" i="5"/>
  <c r="D24" i="5"/>
  <c r="D40" i="5"/>
  <c r="D25" i="5"/>
  <c r="D14" i="5"/>
  <c r="D46" i="5"/>
  <c r="C17" i="5"/>
  <c r="C33" i="5"/>
  <c r="C49" i="5"/>
  <c r="C22" i="5"/>
  <c r="C42" i="5"/>
  <c r="C15" i="5"/>
  <c r="C31" i="5"/>
  <c r="C47" i="5"/>
  <c r="C24" i="5"/>
  <c r="C40" i="5"/>
  <c r="B14" i="5"/>
  <c r="B30" i="5"/>
  <c r="B46" i="5"/>
  <c r="B27" i="5"/>
  <c r="B43" i="5"/>
  <c r="B16" i="5"/>
  <c r="B32" i="5"/>
  <c r="B48" i="5"/>
  <c r="B25" i="5"/>
  <c r="B41" i="5"/>
  <c r="C26" i="3"/>
  <c r="D36" i="3"/>
  <c r="E45" i="3"/>
  <c r="B50" i="3"/>
  <c r="D33" i="3"/>
  <c r="B22" i="3"/>
  <c r="F44" i="3"/>
  <c r="B45" i="3"/>
  <c r="C29" i="3"/>
  <c r="F45" i="3"/>
  <c r="E55" i="3"/>
  <c r="B19" i="3"/>
  <c r="B48" i="3"/>
  <c r="B58" i="3"/>
  <c r="D32" i="3"/>
  <c r="D25" i="3"/>
  <c r="E58" i="3"/>
  <c r="F38" i="3"/>
  <c r="D35" i="3"/>
  <c r="D24" i="3"/>
  <c r="E33" i="3"/>
  <c r="B41" i="3"/>
  <c r="F57" i="3"/>
  <c r="B43" i="3"/>
  <c r="D50" i="3"/>
  <c r="B27" i="3"/>
  <c r="D34" i="3"/>
  <c r="E44" i="3"/>
  <c r="E31" i="3"/>
  <c r="F33" i="3"/>
  <c r="C54" i="3"/>
  <c r="C43" i="3"/>
  <c r="D18" i="3"/>
  <c r="B37" i="3"/>
  <c r="C34" i="3"/>
  <c r="D44" i="3"/>
  <c r="E53" i="3"/>
  <c r="C19" i="3"/>
  <c r="D45" i="3"/>
  <c r="C20" i="3"/>
  <c r="D41" i="3"/>
  <c r="C24" i="3"/>
  <c r="C37" i="3"/>
  <c r="B28" i="3"/>
  <c r="F53" i="3"/>
  <c r="D51" i="3"/>
  <c r="C57" i="3"/>
  <c r="F54" i="3"/>
  <c r="F20" i="3"/>
  <c r="E26" i="3"/>
  <c r="B21" i="3"/>
  <c r="F56" i="3"/>
  <c r="D27" i="5"/>
  <c r="D43" i="5"/>
  <c r="D29" i="5"/>
  <c r="D18" i="5"/>
  <c r="D12" i="5"/>
  <c r="D28" i="5"/>
  <c r="D44" i="5"/>
  <c r="D33" i="5"/>
  <c r="D22" i="5"/>
  <c r="D9" i="5"/>
  <c r="C21" i="5"/>
  <c r="C37" i="5"/>
  <c r="C10" i="5"/>
  <c r="C26" i="5"/>
  <c r="C46" i="5"/>
  <c r="C19" i="5"/>
  <c r="C35" i="5"/>
  <c r="C12" i="5"/>
  <c r="C28" i="5"/>
  <c r="B18" i="5"/>
  <c r="B11" i="5"/>
  <c r="B47" i="5"/>
  <c r="B20" i="5"/>
  <c r="B13" i="5"/>
  <c r="B45" i="5"/>
  <c r="F24" i="3"/>
  <c r="C32" i="3"/>
  <c r="C48" i="3"/>
  <c r="B53" i="3"/>
  <c r="F40" i="3"/>
  <c r="E30" i="3"/>
  <c r="E47" i="3"/>
  <c r="E49" i="3"/>
  <c r="B54" i="3"/>
  <c r="B38" i="3"/>
  <c r="F30" i="3"/>
  <c r="D48" i="3"/>
  <c r="F31" i="3"/>
  <c r="F22" i="3"/>
  <c r="E22" i="3"/>
  <c r="E18" i="3"/>
  <c r="C49" i="3"/>
  <c r="F41" i="3"/>
  <c r="D53" i="3"/>
  <c r="F52" i="3"/>
  <c r="D11" i="5"/>
  <c r="D15" i="5"/>
  <c r="D31" i="5"/>
  <c r="D47" i="5"/>
  <c r="D37" i="5"/>
  <c r="D26" i="5"/>
  <c r="D16" i="5"/>
  <c r="D32" i="5"/>
  <c r="D48" i="5"/>
  <c r="D41" i="5"/>
  <c r="D30" i="5"/>
  <c r="C9" i="5"/>
  <c r="C25" i="5"/>
  <c r="C41" i="5"/>
  <c r="C14" i="5"/>
  <c r="C30" i="5"/>
  <c r="C38" i="5"/>
  <c r="C23" i="5"/>
  <c r="C39" i="5"/>
  <c r="C16" i="5"/>
  <c r="C32" i="5"/>
  <c r="C48" i="5"/>
  <c r="B22" i="5"/>
  <c r="B38" i="5"/>
  <c r="B15" i="5"/>
  <c r="B35" i="5"/>
  <c r="B23" i="5"/>
  <c r="B24" i="5"/>
  <c r="B40" i="5"/>
  <c r="B17" i="5"/>
  <c r="B33" i="5"/>
  <c r="B49" i="5"/>
  <c r="C58" i="3"/>
  <c r="F46" i="3"/>
  <c r="B39" i="3"/>
  <c r="C47" i="3"/>
  <c r="E38" i="3"/>
  <c r="F23" i="3"/>
  <c r="E34" i="3"/>
  <c r="D26" i="3"/>
  <c r="D55" i="3"/>
  <c r="D27" i="3"/>
  <c r="D31" i="3"/>
  <c r="B49" i="3"/>
  <c r="B31" i="3"/>
  <c r="B32" i="3"/>
  <c r="B23" i="3"/>
  <c r="C28" i="3"/>
  <c r="C25" i="3"/>
  <c r="E32" i="3"/>
  <c r="C46" i="3"/>
  <c r="D56" i="3"/>
  <c r="F36" i="3"/>
  <c r="C35" i="3"/>
  <c r="F49" i="3"/>
  <c r="C36" i="3"/>
  <c r="F37" i="3"/>
  <c r="C56" i="3"/>
  <c r="F26" i="3"/>
  <c r="B46" i="3"/>
  <c r="B33" i="3"/>
  <c r="E40" i="3"/>
  <c r="E41" i="3"/>
  <c r="C52" i="3"/>
  <c r="F21" i="3"/>
  <c r="F18" i="3"/>
  <c r="F42" i="3"/>
  <c r="E21" i="3"/>
  <c r="B36" i="3"/>
  <c r="C55" i="3"/>
  <c r="E54" i="3"/>
  <c r="D22" i="3"/>
  <c r="E50" i="3"/>
  <c r="D46" i="3"/>
  <c r="E20" i="3"/>
  <c r="F19" i="3"/>
  <c r="F55" i="3"/>
  <c r="F51" i="3"/>
  <c r="B42" i="3"/>
  <c r="E57" i="3"/>
  <c r="B29" i="3"/>
  <c r="D54" i="3"/>
  <c r="C53" i="3"/>
  <c r="C51" i="3"/>
  <c r="F47" i="3"/>
  <c r="D38" i="3"/>
  <c r="F43" i="3"/>
  <c r="D47" i="3"/>
  <c r="B52" i="3"/>
  <c r="D49" i="3"/>
  <c r="C18" i="3"/>
  <c r="D28" i="3"/>
  <c r="B57" i="3"/>
  <c r="B40" i="3"/>
  <c r="D58" i="3"/>
  <c r="C21" i="3"/>
  <c r="E39" i="3"/>
  <c r="B51" i="3"/>
  <c r="C22" i="3"/>
  <c r="D30" i="3"/>
  <c r="E19" i="3"/>
  <c r="C44" i="5"/>
  <c r="B31" i="5"/>
  <c r="B36" i="5"/>
  <c r="B29" i="5"/>
  <c r="C42" i="3"/>
  <c r="C31" i="3"/>
  <c r="F25" i="3"/>
  <c r="C45" i="3"/>
  <c r="B44" i="3"/>
  <c r="B30" i="3"/>
  <c r="C40" i="3"/>
  <c r="C30" i="3"/>
  <c r="B18" i="3"/>
  <c r="D29" i="3"/>
  <c r="C33" i="3"/>
  <c r="E51" i="3"/>
  <c r="F27" i="3"/>
  <c r="C50" i="3"/>
  <c r="F48" i="3"/>
  <c r="C44" i="3"/>
  <c r="F35" i="3"/>
  <c r="B26" i="3"/>
  <c r="F34" i="3"/>
  <c r="B56" i="3"/>
  <c r="D19" i="5"/>
  <c r="D35" i="5"/>
  <c r="D13" i="5"/>
  <c r="D45" i="5"/>
  <c r="D34" i="5"/>
  <c r="D20" i="5"/>
  <c r="D36" i="5"/>
  <c r="D17" i="5"/>
  <c r="D49" i="5"/>
  <c r="D38" i="5"/>
  <c r="C13" i="5"/>
  <c r="C29" i="5"/>
  <c r="C45" i="5"/>
  <c r="C18" i="5"/>
  <c r="C34" i="5"/>
  <c r="C11" i="5"/>
  <c r="C27" i="5"/>
  <c r="C43" i="5"/>
  <c r="C20" i="5"/>
  <c r="C36" i="5"/>
  <c r="B10" i="5"/>
  <c r="B26" i="5"/>
  <c r="B42" i="5"/>
  <c r="B19" i="5"/>
  <c r="B39" i="5"/>
  <c r="B12" i="5"/>
  <c r="B28" i="5"/>
  <c r="B44" i="5"/>
  <c r="B21" i="5"/>
  <c r="B37" i="5"/>
  <c r="B9" i="5"/>
  <c r="D20" i="3"/>
  <c r="E29" i="3"/>
  <c r="B25" i="3"/>
  <c r="F32" i="3"/>
  <c r="F50" i="3"/>
  <c r="D42" i="3"/>
  <c r="F39" i="3"/>
  <c r="F28" i="3"/>
  <c r="E36" i="3"/>
  <c r="E23" i="3"/>
  <c r="E48" i="3"/>
  <c r="E24" i="3"/>
  <c r="D19" i="3"/>
  <c r="C38" i="3"/>
  <c r="C23" i="3"/>
  <c r="C27" i="3"/>
  <c r="E28" i="3"/>
  <c r="B24" i="3"/>
  <c r="F29" i="3"/>
  <c r="F58" i="3"/>
  <c r="B55" i="3"/>
  <c r="E46" i="3"/>
  <c r="E42" i="3"/>
  <c r="D43" i="3"/>
  <c r="E27" i="3"/>
  <c r="B47" i="3"/>
  <c r="E37" i="3"/>
  <c r="D21" i="3"/>
  <c r="B20" i="3"/>
  <c r="E52" i="3"/>
  <c r="E56" i="3"/>
  <c r="B34" i="3"/>
  <c r="D39" i="3"/>
  <c r="B34" i="5"/>
  <c r="D52" i="3"/>
  <c r="D57" i="3"/>
  <c r="E35" i="3"/>
  <c r="E25" i="3"/>
  <c r="D40" i="3"/>
  <c r="D37" i="3"/>
  <c r="B35" i="3"/>
  <c r="C41" i="3"/>
  <c r="C39" i="3"/>
  <c r="D23" i="3"/>
  <c r="E43" i="3"/>
  <c r="F10" i="5"/>
  <c r="F14" i="5"/>
  <c r="F18" i="5"/>
  <c r="F22" i="5"/>
  <c r="F26" i="5"/>
  <c r="F30" i="5"/>
  <c r="F34" i="5"/>
  <c r="F38" i="5"/>
  <c r="F42" i="5"/>
  <c r="F46" i="5"/>
  <c r="F11" i="5"/>
  <c r="F15" i="5"/>
  <c r="F19" i="5"/>
  <c r="F23" i="5"/>
  <c r="F27" i="5"/>
  <c r="F31" i="5"/>
  <c r="F35" i="5"/>
  <c r="F39" i="5"/>
  <c r="F47" i="5"/>
  <c r="F12" i="5"/>
  <c r="F16" i="5"/>
  <c r="F20" i="5"/>
  <c r="F24" i="5"/>
  <c r="F28" i="5"/>
  <c r="F32" i="5"/>
  <c r="F36" i="5"/>
  <c r="F40" i="5"/>
  <c r="F48" i="5"/>
  <c r="F17" i="5"/>
  <c r="F25" i="5"/>
  <c r="F33" i="5"/>
  <c r="F41" i="5"/>
  <c r="F49" i="5"/>
  <c r="F43" i="5"/>
  <c r="F44" i="5"/>
  <c r="F13" i="5"/>
  <c r="F21" i="5"/>
  <c r="F29" i="5"/>
  <c r="F37" i="5"/>
  <c r="F45" i="5"/>
  <c r="F9" i="5"/>
  <c r="D3" i="2" l="1"/>
  <c r="E3" i="2"/>
  <c r="F3" i="2"/>
  <c r="G3" i="2"/>
  <c r="D4" i="2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C4" i="2"/>
  <c r="C5" i="2"/>
  <c r="C6" i="2"/>
  <c r="C7" i="2"/>
  <c r="C8" i="2"/>
  <c r="C9" i="2"/>
  <c r="C10" i="2"/>
  <c r="C11" i="2"/>
  <c r="C12" i="2"/>
  <c r="C13" i="2"/>
  <c r="C3" i="2"/>
  <c r="F2" i="1"/>
  <c r="G2" i="1"/>
  <c r="H2" i="1"/>
  <c r="I2" i="1"/>
  <c r="J2" i="1"/>
  <c r="F3" i="1"/>
  <c r="G3" i="1"/>
  <c r="H3" i="1"/>
  <c r="I3" i="1"/>
  <c r="J3" i="1"/>
  <c r="F4" i="1"/>
  <c r="G4" i="1"/>
  <c r="H4" i="1"/>
  <c r="I4" i="1"/>
  <c r="J4" i="1"/>
  <c r="F5" i="1"/>
  <c r="G5" i="1"/>
  <c r="H5" i="1"/>
  <c r="I5" i="1"/>
  <c r="J5" i="1"/>
  <c r="F6" i="1"/>
  <c r="G6" i="1"/>
  <c r="H6" i="1"/>
  <c r="I6" i="1"/>
  <c r="J6" i="1"/>
  <c r="F7" i="1"/>
  <c r="G7" i="1"/>
  <c r="H7" i="1"/>
  <c r="I7" i="1"/>
  <c r="J7" i="1"/>
  <c r="F8" i="1"/>
  <c r="G8" i="1"/>
  <c r="H8" i="1"/>
  <c r="I8" i="1"/>
  <c r="J8" i="1"/>
  <c r="F9" i="1"/>
  <c r="G9" i="1"/>
  <c r="H9" i="1"/>
  <c r="I9" i="1"/>
  <c r="J9" i="1"/>
  <c r="F10" i="1"/>
  <c r="G10" i="1"/>
  <c r="H10" i="1"/>
  <c r="I10" i="1"/>
  <c r="J10" i="1"/>
  <c r="F11" i="1"/>
  <c r="G11" i="1"/>
  <c r="H11" i="1"/>
  <c r="I11" i="1"/>
  <c r="J11" i="1"/>
  <c r="F12" i="1"/>
  <c r="G12" i="1"/>
  <c r="H12" i="1"/>
  <c r="I12" i="1"/>
  <c r="J12" i="1"/>
  <c r="F13" i="1"/>
  <c r="G13" i="1"/>
  <c r="H13" i="1"/>
  <c r="I13" i="1"/>
  <c r="J13" i="1"/>
  <c r="F14" i="1"/>
  <c r="G14" i="1"/>
  <c r="H14" i="1"/>
  <c r="I14" i="1"/>
  <c r="J14" i="1"/>
  <c r="F15" i="1"/>
  <c r="G15" i="1"/>
  <c r="H15" i="1"/>
  <c r="I15" i="1"/>
  <c r="J15" i="1"/>
  <c r="F16" i="1"/>
  <c r="G16" i="1"/>
  <c r="H16" i="1"/>
  <c r="I16" i="1"/>
  <c r="J16" i="1"/>
  <c r="F17" i="1"/>
  <c r="G17" i="1"/>
  <c r="H17" i="1"/>
  <c r="I17" i="1"/>
  <c r="J17" i="1"/>
  <c r="F18" i="1"/>
  <c r="G18" i="1"/>
  <c r="H18" i="1"/>
  <c r="I18" i="1"/>
  <c r="J18" i="1"/>
  <c r="F19" i="1"/>
  <c r="G19" i="1"/>
  <c r="H19" i="1"/>
  <c r="I19" i="1"/>
  <c r="J19" i="1"/>
  <c r="F20" i="1"/>
  <c r="G20" i="1"/>
  <c r="H20" i="1"/>
  <c r="I20" i="1"/>
  <c r="J20" i="1"/>
  <c r="F21" i="1"/>
  <c r="G21" i="1"/>
  <c r="H21" i="1"/>
  <c r="I21" i="1"/>
  <c r="J21" i="1"/>
  <c r="F22" i="1"/>
  <c r="G22" i="1"/>
  <c r="H22" i="1"/>
  <c r="I22" i="1"/>
  <c r="J22" i="1"/>
  <c r="F23" i="1"/>
  <c r="G23" i="1"/>
  <c r="H23" i="1"/>
  <c r="I23" i="1"/>
  <c r="J23" i="1"/>
  <c r="F24" i="1"/>
  <c r="G24" i="1"/>
  <c r="H24" i="1"/>
  <c r="I24" i="1"/>
  <c r="J24" i="1"/>
  <c r="F25" i="1"/>
  <c r="G25" i="1"/>
  <c r="H25" i="1"/>
  <c r="I25" i="1"/>
  <c r="J25" i="1"/>
  <c r="F26" i="1"/>
  <c r="G26" i="1"/>
  <c r="H26" i="1"/>
  <c r="I26" i="1"/>
  <c r="J26" i="1"/>
  <c r="F27" i="1"/>
  <c r="G27" i="1"/>
  <c r="H27" i="1"/>
  <c r="I27" i="1"/>
  <c r="J27" i="1"/>
  <c r="F28" i="1"/>
  <c r="G28" i="1"/>
  <c r="H28" i="1"/>
  <c r="I28" i="1"/>
  <c r="J28" i="1"/>
  <c r="F29" i="1"/>
  <c r="G29" i="1"/>
  <c r="H29" i="1"/>
  <c r="I29" i="1"/>
  <c r="J29" i="1"/>
  <c r="F30" i="1"/>
  <c r="G30" i="1"/>
  <c r="H30" i="1"/>
  <c r="I30" i="1"/>
  <c r="J30" i="1"/>
  <c r="F31" i="1"/>
  <c r="G31" i="1"/>
  <c r="H31" i="1"/>
  <c r="I31" i="1"/>
  <c r="J31" i="1"/>
  <c r="F32" i="1"/>
  <c r="G32" i="1"/>
  <c r="H32" i="1"/>
  <c r="I32" i="1"/>
  <c r="J32" i="1"/>
  <c r="C2" i="1"/>
  <c r="D2" i="1"/>
  <c r="E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2" i="1"/>
</calcChain>
</file>

<file path=xl/sharedStrings.xml><?xml version="1.0" encoding="utf-8"?>
<sst xmlns="http://schemas.openxmlformats.org/spreadsheetml/2006/main" count="32" uniqueCount="16">
  <si>
    <t>Tmax</t>
  </si>
  <si>
    <t>Topt</t>
  </si>
  <si>
    <t>Q</t>
  </si>
  <si>
    <t>L</t>
  </si>
  <si>
    <t>Kmax</t>
  </si>
  <si>
    <t>Temperatur</t>
  </si>
  <si>
    <t>Ei</t>
  </si>
  <si>
    <t xml:space="preserve">Larve </t>
  </si>
  <si>
    <t>Puppe</t>
  </si>
  <si>
    <t>Adult</t>
  </si>
  <si>
    <t>Winterpuppe</t>
  </si>
  <si>
    <t>Ahlum 2015</t>
  </si>
  <si>
    <t>alt</t>
  </si>
  <si>
    <t>opt</t>
  </si>
  <si>
    <t>opt1</t>
  </si>
  <si>
    <t>opt2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</si>
</sst>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164" fontId="0" fillId="0" borderId="0" xfId="0" applyNumberFormat="1"/>
    <xf numFmtId="3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Übergangswahrscheinlichkeit in Abh. v. biol. Alter u. Transitionsfaktor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transition!$B$1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transition!$B$2:$B$32</c:f>
              <c:numCache>
                <c:formatCode>General</c:formatCode>
                <c:ptCount val="31"/>
                <c:pt idx="0">
                  <c:v>0</c:v>
                </c:pt>
                <c:pt idx="1">
                  <c:v>4.8770575499285984E-2</c:v>
                </c:pt>
                <c:pt idx="2">
                  <c:v>9.5162581964040482E-2</c:v>
                </c:pt>
                <c:pt idx="3">
                  <c:v>0.13929202357494219</c:v>
                </c:pt>
                <c:pt idx="4">
                  <c:v>0.18126924692201818</c:v>
                </c:pt>
                <c:pt idx="5">
                  <c:v>0.22119921692859512</c:v>
                </c:pt>
                <c:pt idx="6">
                  <c:v>0.25918177931828212</c:v>
                </c:pt>
                <c:pt idx="7">
                  <c:v>0.29531191028128656</c:v>
                </c:pt>
                <c:pt idx="8">
                  <c:v>0.32967995396436067</c:v>
                </c:pt>
                <c:pt idx="9">
                  <c:v>0.36237184837822667</c:v>
                </c:pt>
                <c:pt idx="10">
                  <c:v>0.39346934028736658</c:v>
                </c:pt>
                <c:pt idx="11">
                  <c:v>0.42305018961951335</c:v>
                </c:pt>
                <c:pt idx="12">
                  <c:v>0.45118836390597361</c:v>
                </c:pt>
                <c:pt idx="13">
                  <c:v>0.47795422323898396</c:v>
                </c:pt>
                <c:pt idx="14">
                  <c:v>0.50341469620859047</c:v>
                </c:pt>
                <c:pt idx="15">
                  <c:v>0.52763344725898531</c:v>
                </c:pt>
                <c:pt idx="16">
                  <c:v>0.55067103588277844</c:v>
                </c:pt>
                <c:pt idx="17">
                  <c:v>0.57258506805127329</c:v>
                </c:pt>
                <c:pt idx="18">
                  <c:v>0.59343034025940089</c:v>
                </c:pt>
                <c:pt idx="19">
                  <c:v>0.61325897654549877</c:v>
                </c:pt>
                <c:pt idx="20">
                  <c:v>0.63212055882855767</c:v>
                </c:pt>
                <c:pt idx="21">
                  <c:v>0.65006225088884473</c:v>
                </c:pt>
                <c:pt idx="22">
                  <c:v>0.6671289163019205</c:v>
                </c:pt>
                <c:pt idx="23">
                  <c:v>0.68336323062094673</c:v>
                </c:pt>
                <c:pt idx="24">
                  <c:v>0.69880578808779781</c:v>
                </c:pt>
                <c:pt idx="25">
                  <c:v>0.71349520313980985</c:v>
                </c:pt>
                <c:pt idx="26">
                  <c:v>0.72746820696598746</c:v>
                </c:pt>
                <c:pt idx="27">
                  <c:v>0.74075973935410855</c:v>
                </c:pt>
                <c:pt idx="28">
                  <c:v>0.75340303605839354</c:v>
                </c:pt>
                <c:pt idx="29">
                  <c:v>0.76542971190620235</c:v>
                </c:pt>
                <c:pt idx="30">
                  <c:v>0.77686983985157021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B-4E20-9C85-28E7CBEC9F3C}"/>
            </c:ext>
          </c:extLst>
        </c:ser>
        <c:ser>
          <c:idx val="1"/>
          <c:order val="1"/>
          <c:tx>
            <c:strRef>
              <c:f>transition!$C$1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transition!$C$2:$C$32</c:f>
              <c:numCache>
                <c:formatCode>General</c:formatCode>
                <c:ptCount val="31"/>
                <c:pt idx="0">
                  <c:v>0</c:v>
                </c:pt>
                <c:pt idx="1">
                  <c:v>2.4968776025399153E-3</c:v>
                </c:pt>
                <c:pt idx="2">
                  <c:v>9.9501662508318933E-3</c:v>
                </c:pt>
                <c:pt idx="3">
                  <c:v>2.2248762806663658E-2</c:v>
                </c:pt>
                <c:pt idx="4">
                  <c:v>3.9210560847676823E-2</c:v>
                </c:pt>
                <c:pt idx="5">
                  <c:v>6.0586937186524192E-2</c:v>
                </c:pt>
                <c:pt idx="6">
                  <c:v>8.6068814728771814E-2</c:v>
                </c:pt>
                <c:pt idx="7">
                  <c:v>0.11529409505651644</c:v>
                </c:pt>
                <c:pt idx="8">
                  <c:v>0.14785621103378865</c:v>
                </c:pt>
                <c:pt idx="9">
                  <c:v>0.18331351740188917</c:v>
                </c:pt>
                <c:pt idx="10">
                  <c:v>0.22119921692859512</c:v>
                </c:pt>
                <c:pt idx="11">
                  <c:v>0.26103151174105577</c:v>
                </c:pt>
                <c:pt idx="12">
                  <c:v>0.30232367392896897</c:v>
                </c:pt>
                <c:pt idx="13">
                  <c:v>0.34459374567315948</c:v>
                </c:pt>
                <c:pt idx="14">
                  <c:v>0.38737360581558389</c:v>
                </c:pt>
                <c:pt idx="15">
                  <c:v>0.43021717526907699</c:v>
                </c:pt>
                <c:pt idx="16">
                  <c:v>0.47270757595695145</c:v>
                </c:pt>
                <c:pt idx="17">
                  <c:v>0.5144631048459205</c:v>
                </c:pt>
                <c:pt idx="18">
                  <c:v>0.55514193377705889</c:v>
                </c:pt>
                <c:pt idx="19">
                  <c:v>0.59444549493667942</c:v>
                </c:pt>
                <c:pt idx="20">
                  <c:v>0.63212055882855767</c:v>
                </c:pt>
                <c:pt idx="21">
                  <c:v>0.66796005465533936</c:v>
                </c:pt>
                <c:pt idx="22">
                  <c:v>0.70180272057011273</c:v>
                </c:pt>
                <c:pt idx="23">
                  <c:v>0.73353170218647579</c:v>
                </c:pt>
                <c:pt idx="24">
                  <c:v>0.76307224131787821</c:v>
                </c:pt>
                <c:pt idx="25">
                  <c:v>0.79038861284890216</c:v>
                </c:pt>
                <c:pt idx="26">
                  <c:v>0.81548047600701079</c:v>
                </c:pt>
                <c:pt idx="27">
                  <c:v>0.83837880753466076</c:v>
                </c:pt>
                <c:pt idx="28">
                  <c:v>0.85914157907895494</c:v>
                </c:pt>
                <c:pt idx="29">
                  <c:v>0.87784933046001001</c:v>
                </c:pt>
                <c:pt idx="30">
                  <c:v>0.89460077543813565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B-4E20-9C85-28E7CBEC9F3C}"/>
            </c:ext>
          </c:extLst>
        </c:ser>
        <c:ser>
          <c:idx val="2"/>
          <c:order val="2"/>
          <c:tx>
            <c:strRef>
              <c:f>transition!$D$1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transition!$D$2:$D$32</c:f>
              <c:numCache>
                <c:formatCode>General</c:formatCode>
                <c:ptCount val="31"/>
                <c:pt idx="0">
                  <c:v>0</c:v>
                </c:pt>
                <c:pt idx="1">
                  <c:v>1.2499218782546784E-4</c:v>
                </c:pt>
                <c:pt idx="2">
                  <c:v>9.9950016662497809E-4</c:v>
                </c:pt>
                <c:pt idx="3">
                  <c:v>3.3693110893241451E-3</c:v>
                </c:pt>
                <c:pt idx="4">
                  <c:v>7.9680851629393423E-3</c:v>
                </c:pt>
                <c:pt idx="5">
                  <c:v>1.5503562994591547E-2</c:v>
                </c:pt>
                <c:pt idx="6">
                  <c:v>2.6638758475663216E-2</c:v>
                </c:pt>
                <c:pt idx="7">
                  <c:v>4.1968863525216338E-2</c:v>
                </c:pt>
                <c:pt idx="8">
                  <c:v>6.1995000469270534E-2</c:v>
                </c:pt>
                <c:pt idx="9">
                  <c:v>8.7096409181942946E-2</c:v>
                </c:pt>
                <c:pt idx="10">
                  <c:v>0.11750309741540454</c:v>
                </c:pt>
                <c:pt idx="11">
                  <c:v>0.15327134859792713</c:v>
                </c:pt>
                <c:pt idx="12">
                  <c:v>0.19426469812652036</c:v>
                </c:pt>
                <c:pt idx="13">
                  <c:v>0.24014298381473076</c:v>
                </c:pt>
                <c:pt idx="14">
                  <c:v>0.29036178843979132</c:v>
                </c:pt>
                <c:pt idx="15">
                  <c:v>0.34418398872849842</c:v>
                </c:pt>
                <c:pt idx="16">
                  <c:v>0.40070421215446161</c:v>
                </c:pt>
                <c:pt idx="17">
                  <c:v>0.45888583688281726</c:v>
                </c:pt>
                <c:pt idx="18">
                  <c:v>0.51760885988487404</c:v>
                </c:pt>
                <c:pt idx="19">
                  <c:v>0.57572565801403286</c:v>
                </c:pt>
                <c:pt idx="20">
                  <c:v>0.63212055882855767</c:v>
                </c:pt>
                <c:pt idx="21">
                  <c:v>0.68576840460845279</c:v>
                </c:pt>
                <c:pt idx="22">
                  <c:v>0.73578708376691382</c:v>
                </c:pt>
                <c:pt idx="23">
                  <c:v>0.78147940224763879</c:v>
                </c:pt>
                <c:pt idx="24">
                  <c:v>0.82236066640486505</c:v>
                </c:pt>
                <c:pt idx="25">
                  <c:v>0.85816984091265747</c:v>
                </c:pt>
                <c:pt idx="26">
                  <c:v>0.88886393304937816</c:v>
                </c:pt>
                <c:pt idx="27">
                  <c:v>0.91459708113289739</c:v>
                </c:pt>
                <c:pt idx="28">
                  <c:v>0.93568741861969118</c:v>
                </c:pt>
                <c:pt idx="29">
                  <c:v>0.95257591229831184</c:v>
                </c:pt>
                <c:pt idx="30">
                  <c:v>0.96578188168833401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B-4E20-9C85-28E7CBEC9F3C}"/>
            </c:ext>
          </c:extLst>
        </c:ser>
        <c:ser>
          <c:idx val="3"/>
          <c:order val="3"/>
          <c:tx>
            <c:strRef>
              <c:f>transition!$E$1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transition!$E$2:$E$32</c:f>
              <c:numCache>
                <c:formatCode>General</c:formatCode>
                <c:ptCount val="31"/>
                <c:pt idx="0">
                  <c:v>0</c:v>
                </c:pt>
                <c:pt idx="1">
                  <c:v>6.2499804688309624E-6</c:v>
                </c:pt>
                <c:pt idx="2">
                  <c:v>9.999500016666385E-5</c:v>
                </c:pt>
                <c:pt idx="3">
                  <c:v>5.0612187709042633E-4</c:v>
                </c:pt>
                <c:pt idx="4">
                  <c:v>1.5987206823936395E-3</c:v>
                </c:pt>
                <c:pt idx="5">
                  <c:v>3.8986305298824853E-3</c:v>
                </c:pt>
                <c:pt idx="6">
                  <c:v>8.0672833944288591E-3</c:v>
                </c:pt>
                <c:pt idx="7">
                  <c:v>1.4894217327319437E-2</c:v>
                </c:pt>
                <c:pt idx="8">
                  <c:v>2.5275098398206075E-2</c:v>
                </c:pt>
                <c:pt idx="9">
                  <c:v>4.0176868965516643E-2</c:v>
                </c:pt>
                <c:pt idx="10">
                  <c:v>6.0586937186524192E-2</c:v>
                </c:pt>
                <c:pt idx="11">
                  <c:v>8.7444387338391327E-2</c:v>
                </c:pt>
                <c:pt idx="12">
                  <c:v>0.12155326065006866</c:v>
                </c:pt>
                <c:pt idx="13">
                  <c:v>0.16348117138162466</c:v>
                </c:pt>
                <c:pt idx="14">
                  <c:v>0.21345079778654497</c:v>
                </c:pt>
                <c:pt idx="15">
                  <c:v>0.27123667008050878</c:v>
                </c:pt>
                <c:pt idx="16">
                  <c:v>0.33608423666452658</c:v>
                </c:pt>
                <c:pt idx="17">
                  <c:v>0.40667101319470389</c:v>
                </c:pt>
                <c:pt idx="18">
                  <c:v>0.48112900953454774</c:v>
                </c:pt>
                <c:pt idx="19">
                  <c:v>0.55714206550656964</c:v>
                </c:pt>
                <c:pt idx="20">
                  <c:v>0.63212055882855767</c:v>
                </c:pt>
                <c:pt idx="21">
                  <c:v>0.7034401571353408</c:v>
                </c:pt>
                <c:pt idx="22">
                  <c:v>0.76871394471567145</c:v>
                </c:pt>
                <c:pt idx="23">
                  <c:v>0.82605328286054258</c:v>
                </c:pt>
                <c:pt idx="24">
                  <c:v>0.87426767040557207</c:v>
                </c:pt>
                <c:pt idx="25">
                  <c:v>0.91296163234377647</c:v>
                </c:pt>
                <c:pt idx="26">
                  <c:v>0.94250745547383552</c:v>
                </c:pt>
                <c:pt idx="27">
                  <c:v>0.96390158245779201</c:v>
                </c:pt>
                <c:pt idx="28">
                  <c:v>0.97854076091991959</c:v>
                </c:pt>
                <c:pt idx="29">
                  <c:v>0.98797185850350955</c:v>
                </c:pt>
                <c:pt idx="30">
                  <c:v>0.99367028457251427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B-4E20-9C85-28E7CBEC9F3C}"/>
            </c:ext>
          </c:extLst>
        </c:ser>
        <c:ser>
          <c:idx val="4"/>
          <c:order val="4"/>
          <c:tx>
            <c:strRef>
              <c:f>transition!$F$1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transition!$F$2:$F$32</c:f>
              <c:numCache>
                <c:formatCode>General</c:formatCode>
                <c:ptCount val="31"/>
                <c:pt idx="0">
                  <c:v>0</c:v>
                </c:pt>
                <c:pt idx="1">
                  <c:v>3.1249995113835638E-7</c:v>
                </c:pt>
                <c:pt idx="2">
                  <c:v>9.9999500001723973E-6</c:v>
                </c:pt>
                <c:pt idx="3">
                  <c:v>7.5934616820982903E-5</c:v>
                </c:pt>
                <c:pt idx="4">
                  <c:v>3.1994880546093452E-4</c:v>
                </c:pt>
                <c:pt idx="5">
                  <c:v>9.7608581802433037E-4</c:v>
                </c:pt>
                <c:pt idx="6">
                  <c:v>2.4270499400323997E-3</c:v>
                </c:pt>
                <c:pt idx="7">
                  <c:v>5.2384188789056374E-3</c:v>
                </c:pt>
                <c:pt idx="8">
                  <c:v>1.0187749699777426E-2</c:v>
                </c:pt>
                <c:pt idx="9">
                  <c:v>1.8283601758623758E-2</c:v>
                </c:pt>
                <c:pt idx="10">
                  <c:v>3.076676552365587E-2</c:v>
                </c:pt>
                <c:pt idx="11">
                  <c:v>4.908294361388621E-2</c:v>
                </c:pt>
                <c:pt idx="12">
                  <c:v>7.4813555352983507E-2</c:v>
                </c:pt>
                <c:pt idx="13">
                  <c:v>0.10955065576264755</c:v>
                </c:pt>
                <c:pt idx="14">
                  <c:v>0.15470533801270059</c:v>
                </c:pt>
                <c:pt idx="15">
                  <c:v>0.21124907114638225</c:v>
                </c:pt>
                <c:pt idx="16">
                  <c:v>0.27940642724187204</c:v>
                </c:pt>
                <c:pt idx="17">
                  <c:v>0.35834551947608351</c:v>
                </c:pt>
                <c:pt idx="18">
                  <c:v>0.4459442690988904</c:v>
                </c:pt>
                <c:pt idx="19">
                  <c:v>0.53873424982983464</c:v>
                </c:pt>
                <c:pt idx="20">
                  <c:v>0.63212055882855767</c:v>
                </c:pt>
                <c:pt idx="21">
                  <c:v>0.72092691065774672</c:v>
                </c:pt>
                <c:pt idx="22">
                  <c:v>0.80021430261706838</c:v>
                </c:pt>
                <c:pt idx="23">
                  <c:v>0.86619304974065447</c:v>
                </c:pt>
                <c:pt idx="24">
                  <c:v>0.91695062761288726</c:v>
                </c:pt>
                <c:pt idx="25">
                  <c:v>0.95272425059370947</c:v>
                </c:pt>
                <c:pt idx="26">
                  <c:v>0.9755940909055304</c:v>
                </c:pt>
                <c:pt idx="27">
                  <c:v>0.98871220739329058</c:v>
                </c:pt>
                <c:pt idx="28">
                  <c:v>0.99538406116262723</c:v>
                </c:pt>
                <c:pt idx="29">
                  <c:v>0.99835453796605045</c:v>
                </c:pt>
                <c:pt idx="30">
                  <c:v>0.99949641095026309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9B-4E20-9C85-28E7CBEC9F3C}"/>
            </c:ext>
          </c:extLst>
        </c:ser>
        <c:ser>
          <c:idx val="5"/>
          <c:order val="5"/>
          <c:tx>
            <c:strRef>
              <c:f>transition!$G$1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transition!$G$2:$G$32</c:f>
              <c:numCache>
                <c:formatCode>General</c:formatCode>
                <c:ptCount val="31"/>
                <c:pt idx="0">
                  <c:v>0</c:v>
                </c:pt>
                <c:pt idx="1">
                  <c:v>1.5624999849528365E-8</c:v>
                </c:pt>
                <c:pt idx="2">
                  <c:v>9.9999949998430537E-7</c:v>
                </c:pt>
                <c:pt idx="3">
                  <c:v>1.1390560127111371E-5</c:v>
                </c:pt>
                <c:pt idx="4">
                  <c:v>6.3997952043703954E-5</c:v>
                </c:pt>
                <c:pt idx="5">
                  <c:v>2.4411082510278348E-4</c:v>
                </c:pt>
                <c:pt idx="6">
                  <c:v>7.2873434405829052E-4</c:v>
                </c:pt>
                <c:pt idx="7">
                  <c:v>1.8365770495878397E-3</c:v>
                </c:pt>
                <c:pt idx="8">
                  <c:v>4.0876228335275933E-3</c:v>
                </c:pt>
                <c:pt idx="9">
                  <c:v>8.2693845930481569E-3</c:v>
                </c:pt>
                <c:pt idx="10">
                  <c:v>1.5503562994591547E-2</c:v>
                </c:pt>
                <c:pt idx="11">
                  <c:v>2.7301042265250763E-2</c:v>
                </c:pt>
                <c:pt idx="12">
                  <c:v>4.5584339886940994E-2</c:v>
                </c:pt>
                <c:pt idx="13">
                  <c:v>7.2645055336363118E-2</c:v>
                </c:pt>
                <c:pt idx="14">
                  <c:v>0.11099196032038805</c:v>
                </c:pt>
                <c:pt idx="15">
                  <c:v>0.16303959513319366</c:v>
                </c:pt>
                <c:pt idx="16">
                  <c:v>0.23059977790193087</c:v>
                </c:pt>
                <c:pt idx="17">
                  <c:v>0.31418647360804774</c:v>
                </c:pt>
                <c:pt idx="18">
                  <c:v>0.41224259926286588</c:v>
                </c:pt>
                <c:pt idx="19">
                  <c:v>0.52053860105703897</c:v>
                </c:pt>
                <c:pt idx="20">
                  <c:v>0.63212055882855767</c:v>
                </c:pt>
                <c:pt idx="21">
                  <c:v>0.73817937330554062</c:v>
                </c:pt>
                <c:pt idx="22">
                  <c:v>0.82993269355110288</c:v>
                </c:pt>
                <c:pt idx="23">
                  <c:v>0.90104209938712421</c:v>
                </c:pt>
                <c:pt idx="24">
                  <c:v>0.94951020286279231</c:v>
                </c:pt>
                <c:pt idx="25">
                  <c:v>0.9779556129626843</c:v>
                </c:pt>
                <c:pt idx="26">
                  <c:v>0.99198795304009968</c:v>
                </c:pt>
                <c:pt idx="27">
                  <c:v>0.99765024718302675</c:v>
                </c:pt>
                <c:pt idx="28">
                  <c:v>0.99946301263897575</c:v>
                </c:pt>
                <c:pt idx="29">
                  <c:v>0.99990803609461087</c:v>
                </c:pt>
                <c:pt idx="30">
                  <c:v>0.99998869906395682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9B-4E20-9C85-28E7CBEC9F3C}"/>
            </c:ext>
          </c:extLst>
        </c:ser>
        <c:ser>
          <c:idx val="6"/>
          <c:order val="6"/>
          <c:tx>
            <c:strRef>
              <c:f>transition!$H$1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transition!$H$2:$H$32</c:f>
              <c:numCache>
                <c:formatCode>General</c:formatCode>
                <c:ptCount val="31"/>
                <c:pt idx="0">
                  <c:v>0</c:v>
                </c:pt>
                <c:pt idx="1">
                  <c:v>7.8124995361861238E-10</c:v>
                </c:pt>
                <c:pt idx="2">
                  <c:v>9.9999994951360804E-8</c:v>
                </c:pt>
                <c:pt idx="3">
                  <c:v>1.7085922903170569E-6</c:v>
                </c:pt>
                <c:pt idx="4">
                  <c:v>1.2799918080341754E-5</c:v>
                </c:pt>
                <c:pt idx="5">
                  <c:v>6.1033293642709374E-5</c:v>
                </c:pt>
                <c:pt idx="6">
                  <c:v>2.186760868982951E-4</c:v>
                </c:pt>
                <c:pt idx="7">
                  <c:v>6.4318603587598666E-4</c:v>
                </c:pt>
                <c:pt idx="8">
                  <c:v>1.6370585554276174E-3</c:v>
                </c:pt>
                <c:pt idx="9">
                  <c:v>3.7297217759626466E-3</c:v>
                </c:pt>
                <c:pt idx="10">
                  <c:v>7.7820617397564851E-3</c:v>
                </c:pt>
                <c:pt idx="11">
                  <c:v>1.5109047778997908E-2</c:v>
                </c:pt>
                <c:pt idx="12">
                  <c:v>2.7605409893290966E-2</c:v>
                </c:pt>
                <c:pt idx="13">
                  <c:v>4.7840083619311136E-2</c:v>
                </c:pt>
                <c:pt idx="14">
                  <c:v>7.9054390142506814E-2</c:v>
                </c:pt>
                <c:pt idx="15">
                  <c:v>0.12495843134507845</c:v>
                </c:pt>
                <c:pt idx="16">
                  <c:v>0.18918486675977408</c:v>
                </c:pt>
                <c:pt idx="17">
                  <c:v>0.27426989413427338</c:v>
                </c:pt>
                <c:pt idx="18">
                  <c:v>0.38016186028363697</c:v>
                </c:pt>
                <c:pt idx="19">
                  <c:v>0.50258833507762868</c:v>
                </c:pt>
                <c:pt idx="20">
                  <c:v>0.63212055882855767</c:v>
                </c:pt>
                <c:pt idx="21">
                  <c:v>0.75514777719813486</c:v>
                </c:pt>
                <c:pt idx="22">
                  <c:v>0.85754328787732592</c:v>
                </c:pt>
                <c:pt idx="23">
                  <c:v>0.93005316884495826</c:v>
                </c:pt>
                <c:pt idx="24">
                  <c:v>0.97221282789912877</c:v>
                </c:pt>
                <c:pt idx="25">
                  <c:v>0.99150579898660351</c:v>
                </c:pt>
                <c:pt idx="26">
                  <c:v>0.99811692970760268</c:v>
                </c:pt>
                <c:pt idx="27">
                  <c:v>0.99971759008405547</c:v>
                </c:pt>
                <c:pt idx="28">
                  <c:v>0.99997357897332873</c:v>
                </c:pt>
                <c:pt idx="29">
                  <c:v>0.99999859639392685</c:v>
                </c:pt>
                <c:pt idx="30">
                  <c:v>0.99999996200979602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9B-4E20-9C85-28E7CBEC9F3C}"/>
            </c:ext>
          </c:extLst>
        </c:ser>
        <c:ser>
          <c:idx val="7"/>
          <c:order val="7"/>
          <c:tx>
            <c:strRef>
              <c:f>transition!$I$1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transition!$I$2:$I$32</c:f>
              <c:numCache>
                <c:formatCode>General</c:formatCode>
                <c:ptCount val="31"/>
                <c:pt idx="0">
                  <c:v>0</c:v>
                </c:pt>
                <c:pt idx="1">
                  <c:v>3.9062530987621358E-11</c:v>
                </c:pt>
                <c:pt idx="2">
                  <c:v>9.9999999392252903E-9</c:v>
                </c:pt>
                <c:pt idx="3">
                  <c:v>2.5628902966534639E-7</c:v>
                </c:pt>
                <c:pt idx="4">
                  <c:v>2.5599967231615395E-6</c:v>
                </c:pt>
                <c:pt idx="5">
                  <c:v>1.5258672647733285E-5</c:v>
                </c:pt>
                <c:pt idx="6">
                  <c:v>6.5607847711035561E-5</c:v>
                </c:pt>
                <c:pt idx="7">
                  <c:v>2.2516218625168172E-4</c:v>
                </c:pt>
                <c:pt idx="8">
                  <c:v>6.5514529854004966E-4</c:v>
                </c:pt>
                <c:pt idx="9">
                  <c:v>1.680099588928452E-3</c:v>
                </c:pt>
                <c:pt idx="10">
                  <c:v>3.8986305298824853E-3</c:v>
                </c:pt>
                <c:pt idx="11">
                  <c:v>8.3384345711039476E-3</c:v>
                </c:pt>
                <c:pt idx="12">
                  <c:v>1.665589092984987E-2</c:v>
                </c:pt>
                <c:pt idx="13">
                  <c:v>3.1362158263395723E-2</c:v>
                </c:pt>
                <c:pt idx="14">
                  <c:v>5.601783875366384E-2</c:v>
                </c:pt>
                <c:pt idx="15">
                  <c:v>9.5264745948409502E-2</c:v>
                </c:pt>
                <c:pt idx="16">
                  <c:v>0.15445353795437111</c:v>
                </c:pt>
                <c:pt idx="17">
                  <c:v>0.23851935585961759</c:v>
                </c:pt>
                <c:pt idx="18">
                  <c:v>0.34979475864363618</c:v>
                </c:pt>
                <c:pt idx="19">
                  <c:v>0.48491350001638633</c:v>
                </c:pt>
                <c:pt idx="20">
                  <c:v>0.63212055882855767</c:v>
                </c:pt>
                <c:pt idx="21">
                  <c:v>0.77178233714648048</c:v>
                </c:pt>
                <c:pt idx="22">
                  <c:v>0.88276664108983138</c:v>
                </c:pt>
                <c:pt idx="23">
                  <c:v>0.95306646666513251</c:v>
                </c:pt>
                <c:pt idx="24">
                  <c:v>0.98642895717144552</c:v>
                </c:pt>
                <c:pt idx="25">
                  <c:v>0.99742128606088531</c:v>
                </c:pt>
                <c:pt idx="26">
                  <c:v>0.99971336680046263</c:v>
                </c:pt>
                <c:pt idx="27">
                  <c:v>0.99998383082278008</c:v>
                </c:pt>
                <c:pt idx="28">
                  <c:v>0.99999961030075424</c:v>
                </c:pt>
                <c:pt idx="29">
                  <c:v>0.99999999673783746</c:v>
                </c:pt>
                <c:pt idx="30">
                  <c:v>0.99999999999259526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9B-4E20-9C85-28E7CBEC9F3C}"/>
            </c:ext>
          </c:extLst>
        </c:ser>
        <c:ser>
          <c:idx val="8"/>
          <c:order val="8"/>
          <c:tx>
            <c:strRef>
              <c:f>transition!$J$1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transition!$J$2:$J$32</c:f>
              <c:numCache>
                <c:formatCode>General</c:formatCode>
                <c:ptCount val="31"/>
                <c:pt idx="0">
                  <c:v>0</c:v>
                </c:pt>
                <c:pt idx="1">
                  <c:v>1.9531043449205754E-12</c:v>
                </c:pt>
                <c:pt idx="2">
                  <c:v>9.9999997171806854E-10</c:v>
                </c:pt>
                <c:pt idx="3">
                  <c:v>3.8443358607587186E-8</c:v>
                </c:pt>
                <c:pt idx="4">
                  <c:v>5.1199986894623351E-7</c:v>
                </c:pt>
                <c:pt idx="5">
                  <c:v>3.8146899896673858E-6</c:v>
                </c:pt>
                <c:pt idx="6">
                  <c:v>1.9682806291054789E-5</c:v>
                </c:pt>
                <c:pt idx="7">
                  <c:v>7.8812532801064705E-5</c:v>
                </c:pt>
                <c:pt idx="8">
                  <c:v>2.6210964326378594E-4</c:v>
                </c:pt>
                <c:pt idx="9">
                  <c:v>7.5639443197528244E-4</c:v>
                </c:pt>
                <c:pt idx="10">
                  <c:v>1.9512188925244756E-3</c:v>
                </c:pt>
                <c:pt idx="11">
                  <c:v>4.5947781440832669E-3</c:v>
                </c:pt>
                <c:pt idx="12">
                  <c:v>1.0027086174490996E-2</c:v>
                </c:pt>
                <c:pt idx="13">
                  <c:v>2.0498894379297861E-2</c:v>
                </c:pt>
                <c:pt idx="14">
                  <c:v>3.9550242658414669E-2</c:v>
                </c:pt>
                <c:pt idx="15">
                  <c:v>7.2335077488760557E-2</c:v>
                </c:pt>
                <c:pt idx="16">
                  <c:v>0.12560033741357468</c:v>
                </c:pt>
                <c:pt idx="17">
                  <c:v>0.20675007755158348</c:v>
                </c:pt>
                <c:pt idx="18">
                  <c:v>0.32119439538180428</c:v>
                </c:pt>
                <c:pt idx="19">
                  <c:v>0.46754101600390563</c:v>
                </c:pt>
                <c:pt idx="20">
                  <c:v>0.63212055882855767</c:v>
                </c:pt>
                <c:pt idx="21">
                  <c:v>0.7880337501869159</c:v>
                </c:pt>
                <c:pt idx="22">
                  <c:v>0.9053857983460688</c:v>
                </c:pt>
                <c:pt idx="23">
                  <c:v>0.97033763747646018</c:v>
                </c:pt>
                <c:pt idx="24">
                  <c:v>0.99425703902297824</c:v>
                </c:pt>
                <c:pt idx="25">
                  <c:v>0.99941889587303678</c:v>
                </c:pt>
                <c:pt idx="26">
                  <c:v>0.9999751958448635</c:v>
                </c:pt>
                <c:pt idx="27">
                  <c:v>0.99999965980439909</c:v>
                </c:pt>
                <c:pt idx="28">
                  <c:v>0.9999999989358046</c:v>
                </c:pt>
                <c:pt idx="29">
                  <c:v>0.99999999999950506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9B-4E20-9C85-28E7CBEC9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49536"/>
        <c:axId val="296480768"/>
      </c:lineChart>
      <c:catAx>
        <c:axId val="29644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biol. Alter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480768"/>
        <c:crosses val="autoZero"/>
        <c:auto val="0"/>
        <c:lblAlgn val="ctr"/>
        <c:lblOffset val="100"/>
        <c:tickLblSkip val="2"/>
        <c:tickMarkSkip val="2"/>
        <c:noMultiLvlLbl val="0"/>
      </c:catAx>
      <c:valAx>
        <c:axId val="2964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Übergangswahrscheinlichkeitl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44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Eintrittstemperatur in Ästivation bei Schwellwert 20 °C</a:t>
            </a:r>
          </a:p>
          <a:p>
            <a:pPr>
              <a:defRPr/>
            </a:pP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ästivation!$B$2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ästivation!$B$3:$B$13</c:f>
              <c:numCache>
                <c:formatCode>General</c:formatCode>
                <c:ptCount val="11"/>
                <c:pt idx="0">
                  <c:v>20</c:v>
                </c:pt>
                <c:pt idx="1">
                  <c:v>25.481153065695885</c:v>
                </c:pt>
                <c:pt idx="2">
                  <c:v>25.731573874268726</c:v>
                </c:pt>
                <c:pt idx="3">
                  <c:v>25.879325174982725</c:v>
                </c:pt>
                <c:pt idx="4">
                  <c:v>25.984581578903793</c:v>
                </c:pt>
                <c:pt idx="5">
                  <c:v>26.066411547688752</c:v>
                </c:pt>
                <c:pt idx="6">
                  <c:v>26.133364007307581</c:v>
                </c:pt>
                <c:pt idx="7">
                  <c:v>26.190019778665956</c:v>
                </c:pt>
                <c:pt idx="8">
                  <c:v>26.239122437501479</c:v>
                </c:pt>
                <c:pt idx="9">
                  <c:v>26.282446335880607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2-483B-AAC3-C59896ECA751}"/>
            </c:ext>
          </c:extLst>
        </c:ser>
        <c:ser>
          <c:idx val="1"/>
          <c:order val="1"/>
          <c:tx>
            <c:strRef>
              <c:f>ästivation!$C$2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ästivation!$C$3:$C$13</c:f>
              <c:numCache>
                <c:formatCode>General</c:formatCode>
                <c:ptCount val="11"/>
                <c:pt idx="0">
                  <c:v>20</c:v>
                </c:pt>
                <c:pt idx="1">
                  <c:v>22.711065858899754</c:v>
                </c:pt>
                <c:pt idx="2">
                  <c:v>23.605926808381028</c:v>
                </c:pt>
                <c:pt idx="3">
                  <c:v>24.217347222218731</c:v>
                </c:pt>
                <c:pt idx="4">
                  <c:v>24.687143908670322</c:v>
                </c:pt>
                <c:pt idx="5">
                  <c:v>25.0693130860476</c:v>
                </c:pt>
                <c:pt idx="6">
                  <c:v>25.391103655178988</c:v>
                </c:pt>
                <c:pt idx="7">
                  <c:v>25.668451642379317</c:v>
                </c:pt>
                <c:pt idx="8">
                  <c:v>25.911582802021957</c:v>
                </c:pt>
                <c:pt idx="9">
                  <c:v>26.12749418491547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2-483B-AAC3-C59896ECA751}"/>
            </c:ext>
          </c:extLst>
        </c:ser>
        <c:ser>
          <c:idx val="2"/>
          <c:order val="2"/>
          <c:tx>
            <c:strRef>
              <c:f>ästivation!$D$2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ästivation!$D$3:$D$13</c:f>
              <c:numCache>
                <c:formatCode>General</c:formatCode>
                <c:ptCount val="11"/>
                <c:pt idx="0">
                  <c:v>20</c:v>
                </c:pt>
                <c:pt idx="1">
                  <c:v>20.951625819640405</c:v>
                </c:pt>
                <c:pt idx="2">
                  <c:v>21.812692469220181</c:v>
                </c:pt>
                <c:pt idx="3">
                  <c:v>22.59181779318282</c:v>
                </c:pt>
                <c:pt idx="4">
                  <c:v>23.296799539643608</c:v>
                </c:pt>
                <c:pt idx="5">
                  <c:v>23.934693402873666</c:v>
                </c:pt>
                <c:pt idx="6">
                  <c:v>24.511883639059736</c:v>
                </c:pt>
                <c:pt idx="7">
                  <c:v>25.034146962085906</c:v>
                </c:pt>
                <c:pt idx="8">
                  <c:v>25.506710358827785</c:v>
                </c:pt>
                <c:pt idx="9">
                  <c:v>25.934303402594008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D2-483B-AAC3-C59896ECA751}"/>
            </c:ext>
          </c:extLst>
        </c:ser>
        <c:ser>
          <c:idx val="3"/>
          <c:order val="3"/>
          <c:tx>
            <c:strRef>
              <c:f>ästivation!$E$2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ästivation!$E$3:$E$13</c:f>
              <c:numCache>
                <c:formatCode>General</c:formatCode>
                <c:ptCount val="11"/>
                <c:pt idx="0">
                  <c:v>20</c:v>
                </c:pt>
                <c:pt idx="1">
                  <c:v>20.031572829264672</c:v>
                </c:pt>
                <c:pt idx="2">
                  <c:v>20.177294936242216</c:v>
                </c:pt>
                <c:pt idx="3">
                  <c:v>20.480997510310818</c:v>
                </c:pt>
                <c:pt idx="4">
                  <c:v>20.96241305536342</c:v>
                </c:pt>
                <c:pt idx="5">
                  <c:v>21.620331144212443</c:v>
                </c:pt>
                <c:pt idx="6">
                  <c:v>22.433502399169036</c:v>
                </c:pt>
                <c:pt idx="7">
                  <c:v>23.363254684489156</c:v>
                </c:pt>
                <c:pt idx="8">
                  <c:v>24.358490391627452</c:v>
                </c:pt>
                <c:pt idx="9">
                  <c:v>25.362610400682343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D2-483B-AAC3-C59896ECA751}"/>
            </c:ext>
          </c:extLst>
        </c:ser>
        <c:ser>
          <c:idx val="4"/>
          <c:order val="4"/>
          <c:tx>
            <c:strRef>
              <c:f>ästivation!$F$2</c:f>
              <c:strCache>
                <c:ptCount val="1"/>
                <c:pt idx="0">
                  <c:v>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ästivation!$F$3:$F$13</c:f>
              <c:numCache>
                <c:formatCode>General</c:formatCode>
                <c:ptCount val="11"/>
                <c:pt idx="0">
                  <c:v>20</c:v>
                </c:pt>
                <c:pt idx="1">
                  <c:v>20.000999950001667</c:v>
                </c:pt>
                <c:pt idx="2">
                  <c:v>20.015987206823937</c:v>
                </c:pt>
                <c:pt idx="3">
                  <c:v>20.080672833944288</c:v>
                </c:pt>
                <c:pt idx="4">
                  <c:v>20.252750983982061</c:v>
                </c:pt>
                <c:pt idx="5">
                  <c:v>20.605869371865243</c:v>
                </c:pt>
                <c:pt idx="6">
                  <c:v>21.215532606500688</c:v>
                </c:pt>
                <c:pt idx="7">
                  <c:v>22.13450797786545</c:v>
                </c:pt>
                <c:pt idx="8">
                  <c:v>23.360842366645265</c:v>
                </c:pt>
                <c:pt idx="9">
                  <c:v>24.811290095345477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D2-483B-AAC3-C59896ECA751}"/>
            </c:ext>
          </c:extLst>
        </c:ser>
        <c:ser>
          <c:idx val="5"/>
          <c:order val="5"/>
          <c:tx>
            <c:strRef>
              <c:f>ästivation!$G$2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ästivation!$G$3:$G$13</c:f>
              <c:numCache>
                <c:formatCode>General</c:formatCode>
                <c:ptCount val="11"/>
                <c:pt idx="0">
                  <c:v>20</c:v>
                </c:pt>
                <c:pt idx="1">
                  <c:v>20.000099999500002</c:v>
                </c:pt>
                <c:pt idx="2">
                  <c:v>20.003199488054609</c:v>
                </c:pt>
                <c:pt idx="3">
                  <c:v>20.024270499400323</c:v>
                </c:pt>
                <c:pt idx="4">
                  <c:v>20.101877496997773</c:v>
                </c:pt>
                <c:pt idx="5">
                  <c:v>20.307667655236557</c:v>
                </c:pt>
                <c:pt idx="6">
                  <c:v>20.748135553529835</c:v>
                </c:pt>
                <c:pt idx="7">
                  <c:v>21.547053380127007</c:v>
                </c:pt>
                <c:pt idx="8">
                  <c:v>22.794064272418719</c:v>
                </c:pt>
                <c:pt idx="9">
                  <c:v>24.459442690988904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D2-483B-AAC3-C59896ECA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819712"/>
        <c:axId val="296826368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ästivation!$H$2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ästivation!$A$3:$A$13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ästivation!$H$3:$H$13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4D2-483B-AAC3-C59896ECA751}"/>
                  </c:ext>
                </c:extLst>
              </c15:ser>
            </c15:filteredLineSeries>
          </c:ext>
        </c:extLst>
      </c:lineChart>
      <c:catAx>
        <c:axId val="2968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Anteil der Population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826368"/>
        <c:crosses val="autoZero"/>
        <c:auto val="1"/>
        <c:lblAlgn val="ctr"/>
        <c:lblOffset val="100"/>
        <c:noMultiLvlLbl val="0"/>
      </c:catAx>
      <c:valAx>
        <c:axId val="296826368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8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relative Entwicklungsraten</a:t>
            </a:r>
            <a:r>
              <a:rPr lang="de-DE" baseline="0"/>
              <a:t> der Entwicklungsstadien</a:t>
            </a:r>
          </a:p>
          <a:p>
            <a:pPr>
              <a:defRPr/>
            </a:pPr>
            <a:r>
              <a:rPr lang="de-DE" sz="1400" b="0" i="0" u="none" strike="noStrik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Entwicklungsfunktionen!$B$17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Entwicklungsfunktionen!$B$18:$B$58</c:f>
              <c:numCache>
                <c:formatCode>General</c:formatCode>
                <c:ptCount val="41"/>
                <c:pt idx="0">
                  <c:v>2.7526458907397751E-3</c:v>
                </c:pt>
                <c:pt idx="1">
                  <c:v>7.486397851096907E-3</c:v>
                </c:pt>
                <c:pt idx="2">
                  <c:v>1.2961858147886328E-2</c:v>
                </c:pt>
                <c:pt idx="3">
                  <c:v>1.9271221987521701E-2</c:v>
                </c:pt>
                <c:pt idx="4">
                  <c:v>2.6511946251121674E-2</c:v>
                </c:pt>
                <c:pt idx="5">
                  <c:v>3.4785222125807272E-2</c:v>
                </c:pt>
                <c:pt idx="6">
                  <c:v>4.4193778539332075E-2</c:v>
                </c:pt>
                <c:pt idx="7">
                  <c:v>5.4838876601193569E-2</c:v>
                </c:pt>
                <c:pt idx="8">
                  <c:v>6.6816346470390586E-2</c:v>
                </c:pt>
                <c:pt idx="9">
                  <c:v>8.0211515920414755E-2</c:v>
                </c:pt>
                <c:pt idx="10">
                  <c:v>9.5092887866515319E-2</c:v>
                </c:pt>
                <c:pt idx="11">
                  <c:v>0.11150444673305923</c:v>
                </c:pt>
                <c:pt idx="12">
                  <c:v>0.12945651630199043</c:v>
                </c:pt>
                <c:pt idx="13">
                  <c:v>0.14891516121341505</c:v>
                </c:pt>
                <c:pt idx="14">
                  <c:v>0.16979022819386472</c:v>
                </c:pt>
                <c:pt idx="15">
                  <c:v>0.19192226967915393</c:v>
                </c:pt>
                <c:pt idx="16">
                  <c:v>0.21506879021195113</c:v>
                </c:pt>
                <c:pt idx="17">
                  <c:v>0.23889051237350337</c:v>
                </c:pt>
                <c:pt idx="18">
                  <c:v>0.26293867908798135</c:v>
                </c:pt>
                <c:pt idx="19">
                  <c:v>0.28664479299616352</c:v>
                </c:pt>
                <c:pt idx="20">
                  <c:v>0.30931463283783794</c:v>
                </c:pt>
                <c:pt idx="21">
                  <c:v>0.33012885966999506</c:v>
                </c:pt>
                <c:pt idx="22">
                  <c:v>0.34815299072512551</c:v>
                </c:pt>
                <c:pt idx="23">
                  <c:v>0.36235990618735969</c:v>
                </c:pt>
                <c:pt idx="24">
                  <c:v>0.37166825663107511</c:v>
                </c:pt>
                <c:pt idx="25">
                  <c:v>0.375</c:v>
                </c:pt>
                <c:pt idx="26">
                  <c:v>0.37157857258836674</c:v>
                </c:pt>
                <c:pt idx="27">
                  <c:v>0.36084200508612696</c:v>
                </c:pt>
                <c:pt idx="28">
                  <c:v>0.34231661829813093</c:v>
                </c:pt>
                <c:pt idx="29">
                  <c:v>0.31594688658148934</c:v>
                </c:pt>
                <c:pt idx="30">
                  <c:v>0.28222744975268738</c:v>
                </c:pt>
                <c:pt idx="31">
                  <c:v>0.24231833201692299</c:v>
                </c:pt>
                <c:pt idx="32">
                  <c:v>0.19811431305448157</c:v>
                </c:pt>
                <c:pt idx="33">
                  <c:v>0.15222879847244497</c:v>
                </c:pt>
                <c:pt idx="34">
                  <c:v>0.10784351303199462</c:v>
                </c:pt>
                <c:pt idx="35">
                  <c:v>6.8373085826469032E-2</c:v>
                </c:pt>
                <c:pt idx="36">
                  <c:v>3.6908098290099063E-2</c:v>
                </c:pt>
                <c:pt idx="37">
                  <c:v>1.5449688529325378E-2</c:v>
                </c:pt>
                <c:pt idx="38">
                  <c:v>4.0659988943200047E-3</c:v>
                </c:pt>
                <c:pt idx="39">
                  <c:v>3.4445518775121862E-4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C-416C-8268-096791EC7A9A}"/>
            </c:ext>
          </c:extLst>
        </c:ser>
        <c:ser>
          <c:idx val="1"/>
          <c:order val="1"/>
          <c:tx>
            <c:strRef>
              <c:f>Entwicklungsfunktionen!$C$17</c:f>
              <c:strCache>
                <c:ptCount val="1"/>
                <c:pt idx="0">
                  <c:v>Larve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Entwicklungsfunktionen!$C$18:$C$58</c:f>
              <c:numCache>
                <c:formatCode>General</c:formatCode>
                <c:ptCount val="41"/>
                <c:pt idx="0">
                  <c:v>5.34206318417281E-4</c:v>
                </c:pt>
                <c:pt idx="1">
                  <c:v>1.7316915651621346E-3</c:v>
                </c:pt>
                <c:pt idx="2">
                  <c:v>3.0667040941079853E-3</c:v>
                </c:pt>
                <c:pt idx="3">
                  <c:v>4.552439554893619E-3</c:v>
                </c:pt>
                <c:pt idx="4">
                  <c:v>6.202793838126601E-3</c:v>
                </c:pt>
                <c:pt idx="5">
                  <c:v>8.032254890024371E-3</c:v>
                </c:pt>
                <c:pt idx="6">
                  <c:v>1.0055744358750352E-2</c:v>
                </c:pt>
                <c:pt idx="7">
                  <c:v>1.2288396570633181E-2</c:v>
                </c:pt>
                <c:pt idx="8">
                  <c:v>1.4745259859612768E-2</c:v>
                </c:pt>
                <c:pt idx="9">
                  <c:v>1.7440902401692597E-2</c:v>
                </c:pt>
                <c:pt idx="10">
                  <c:v>2.0388901399026979E-2</c:v>
                </c:pt>
                <c:pt idx="11">
                  <c:v>2.3601190683267555E-2</c:v>
                </c:pt>
                <c:pt idx="12">
                  <c:v>2.7087237545948051E-2</c:v>
                </c:pt>
                <c:pt idx="13">
                  <c:v>3.085301485956659E-2</c:v>
                </c:pt>
                <c:pt idx="14">
                  <c:v>3.4899729370454081E-2</c:v>
                </c:pt>
                <c:pt idx="15">
                  <c:v>3.9222261530531127E-2</c:v>
                </c:pt>
                <c:pt idx="16">
                  <c:v>4.3807266596553915E-2</c:v>
                </c:pt>
                <c:pt idx="17">
                  <c:v>4.8630881325620892E-2</c:v>
                </c:pt>
                <c:pt idx="18">
                  <c:v>5.3655976041837465E-2</c:v>
                </c:pt>
                <c:pt idx="19">
                  <c:v>5.8828889130962493E-2</c:v>
                </c:pt>
                <c:pt idx="20">
                  <c:v>6.4075581732304779E-2</c:v>
                </c:pt>
                <c:pt idx="21">
                  <c:v>6.9297157104303675E-2</c:v>
                </c:pt>
                <c:pt idx="22">
                  <c:v>7.4364705989417718E-2</c:v>
                </c:pt>
                <c:pt idx="23">
                  <c:v>7.9113473090188208E-2</c:v>
                </c:pt>
                <c:pt idx="24">
                  <c:v>8.3336401848659702E-2</c:v>
                </c:pt>
                <c:pt idx="25">
                  <c:v>8.6777224603607761E-2</c:v>
                </c:pt>
                <c:pt idx="26">
                  <c:v>8.9123457608438122E-2</c:v>
                </c:pt>
                <c:pt idx="27">
                  <c:v>0.09</c:v>
                </c:pt>
                <c:pt idx="28">
                  <c:v>8.9058772837384725E-2</c:v>
                </c:pt>
                <c:pt idx="29">
                  <c:v>8.5916374211944521E-2</c:v>
                </c:pt>
                <c:pt idx="30">
                  <c:v>8.0056901502084776E-2</c:v>
                </c:pt>
                <c:pt idx="31">
                  <c:v>7.0937296320967347E-2</c:v>
                </c:pt>
                <c:pt idx="32">
                  <c:v>5.805116923296675E-2</c:v>
                </c:pt>
                <c:pt idx="33">
                  <c:v>4.1087769957922432E-2</c:v>
                </c:pt>
                <c:pt idx="34">
                  <c:v>2.0401092136706888E-2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BC-416C-8268-096791EC7A9A}"/>
            </c:ext>
          </c:extLst>
        </c:ser>
        <c:ser>
          <c:idx val="2"/>
          <c:order val="2"/>
          <c:tx>
            <c:strRef>
              <c:f>Entwicklungsfunktionen!$D$17</c:f>
              <c:strCache>
                <c:ptCount val="1"/>
                <c:pt idx="0">
                  <c:v>Puppe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Entwicklungsfunktionen!$D$18:$D$58</c:f>
              <c:numCache>
                <c:formatCode>General</c:formatCode>
                <c:ptCount val="41"/>
                <c:pt idx="0">
                  <c:v>0</c:v>
                </c:pt>
                <c:pt idx="1">
                  <c:v>1.3073675235174449E-3</c:v>
                </c:pt>
                <c:pt idx="2">
                  <c:v>2.8225670096978933E-3</c:v>
                </c:pt>
                <c:pt idx="3">
                  <c:v>4.5497096641078667E-3</c:v>
                </c:pt>
                <c:pt idx="4">
                  <c:v>6.5097803456420598E-3</c:v>
                </c:pt>
                <c:pt idx="5">
                  <c:v>8.7235338007660597E-3</c:v>
                </c:pt>
                <c:pt idx="6">
                  <c:v>1.1210695852053216E-2</c:v>
                </c:pt>
                <c:pt idx="7">
                  <c:v>1.3988926758441211E-2</c:v>
                </c:pt>
                <c:pt idx="8">
                  <c:v>1.7072509221179394E-2</c:v>
                </c:pt>
                <c:pt idx="9">
                  <c:v>2.0470725221359558E-2</c:v>
                </c:pt>
                <c:pt idx="10">
                  <c:v>2.4185891338726208E-2</c:v>
                </c:pt>
                <c:pt idx="11">
                  <c:v>2.8211033021495968E-2</c:v>
                </c:pt>
                <c:pt idx="12">
                  <c:v>3.2527196481213244E-2</c:v>
                </c:pt>
                <c:pt idx="13">
                  <c:v>3.7100424968565589E-2</c:v>
                </c:pt>
                <c:pt idx="14">
                  <c:v>4.187846711172543E-2</c:v>
                </c:pt>
                <c:pt idx="15">
                  <c:v>4.6787342150287063E-2</c:v>
                </c:pt>
                <c:pt idx="16">
                  <c:v>5.1727963905252847E-2</c:v>
                </c:pt>
                <c:pt idx="17">
                  <c:v>5.6573125716088392E-2</c:v>
                </c:pt>
                <c:pt idx="18">
                  <c:v>6.1165275134463772E-2</c:v>
                </c:pt>
                <c:pt idx="19">
                  <c:v>6.5315660847246076E-2</c:v>
                </c:pt>
                <c:pt idx="20">
                  <c:v>6.8805612474611089E-2</c:v>
                </c:pt>
                <c:pt idx="21">
                  <c:v>7.139090755967345E-2</c:v>
                </c:pt>
                <c:pt idx="22">
                  <c:v>7.2810369630888994E-2</c:v>
                </c:pt>
                <c:pt idx="23">
                  <c:v>7.2819744125899061E-2</c:v>
                </c:pt>
                <c:pt idx="24">
                  <c:v>7.1300191734724488E-2</c:v>
                </c:pt>
                <c:pt idx="25">
                  <c:v>6.8091378339914757E-2</c:v>
                </c:pt>
                <c:pt idx="26">
                  <c:v>6.3090727000746763E-2</c:v>
                </c:pt>
                <c:pt idx="27">
                  <c:v>5.6313472133661557E-2</c:v>
                </c:pt>
                <c:pt idx="28">
                  <c:v>4.7938909226998068E-2</c:v>
                </c:pt>
                <c:pt idx="29">
                  <c:v>3.8355753449773253E-2</c:v>
                </c:pt>
                <c:pt idx="30">
                  <c:v>2.8195209422895832E-2</c:v>
                </c:pt>
                <c:pt idx="31">
                  <c:v>1.8331471766867224E-2</c:v>
                </c:pt>
                <c:pt idx="32">
                  <c:v>9.8156118559307726E-3</c:v>
                </c:pt>
                <c:pt idx="33">
                  <c:v>3.6879584710001524E-3</c:v>
                </c:pt>
                <c:pt idx="34">
                  <c:v>5.8327926652120639E-4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BC-416C-8268-096791EC7A9A}"/>
            </c:ext>
          </c:extLst>
        </c:ser>
        <c:ser>
          <c:idx val="3"/>
          <c:order val="3"/>
          <c:tx>
            <c:strRef>
              <c:f>Entwicklungsfunktionen!$E$17</c:f>
              <c:strCache>
                <c:ptCount val="1"/>
                <c:pt idx="0">
                  <c:v>Adult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Entwicklungsfunktionen!$E$18:$E$58</c:f>
              <c:numCache>
                <c:formatCode>General</c:formatCode>
                <c:ptCount val="41"/>
                <c:pt idx="0">
                  <c:v>1.0482537984494418E-3</c:v>
                </c:pt>
                <c:pt idx="1">
                  <c:v>1.8004709888195594E-3</c:v>
                </c:pt>
                <c:pt idx="2">
                  <c:v>2.6285387237804103E-3</c:v>
                </c:pt>
                <c:pt idx="3">
                  <c:v>3.5393129289902087E-3</c:v>
                </c:pt>
                <c:pt idx="4">
                  <c:v>4.540114546688144E-3</c:v>
                </c:pt>
                <c:pt idx="5">
                  <c:v>5.6387262733697506E-3</c:v>
                </c:pt>
                <c:pt idx="6">
                  <c:v>6.8433785849858E-3</c:v>
                </c:pt>
                <c:pt idx="7">
                  <c:v>8.1627218021364072E-3</c:v>
                </c:pt>
                <c:pt idx="8">
                  <c:v>9.6057801384896151E-3</c:v>
                </c:pt>
                <c:pt idx="9">
                  <c:v>1.1181882665092123E-2</c:v>
                </c:pt>
                <c:pt idx="10">
                  <c:v>1.2900564856505961E-2</c:v>
                </c:pt>
                <c:pt idx="11">
                  <c:v>1.4771432789604853E-2</c:v>
                </c:pt>
                <c:pt idx="12">
                  <c:v>1.6803980046334148E-2</c:v>
                </c:pt>
                <c:pt idx="13">
                  <c:v>1.9007344798402437E-2</c:v>
                </c:pt>
                <c:pt idx="14">
                  <c:v>2.1389991248135225E-2</c:v>
                </c:pt>
                <c:pt idx="15">
                  <c:v>2.395929532095499E-2</c:v>
                </c:pt>
                <c:pt idx="16">
                  <c:v>2.6721008906721029E-2</c:v>
                </c:pt>
                <c:pt idx="17">
                  <c:v>2.96785695357316E-2</c:v>
                </c:pt>
                <c:pt idx="18">
                  <c:v>3.2832212428671688E-2</c:v>
                </c:pt>
                <c:pt idx="19">
                  <c:v>3.6177828299472407E-2</c:v>
                </c:pt>
                <c:pt idx="20">
                  <c:v>3.9705491464749616E-2</c:v>
                </c:pt>
                <c:pt idx="21">
                  <c:v>4.3397556127461351E-2</c:v>
                </c:pt>
                <c:pt idx="22">
                  <c:v>4.7226179952206598E-2</c:v>
                </c:pt>
                <c:pt idx="23">
                  <c:v>5.1150076198809964E-2</c:v>
                </c:pt>
                <c:pt idx="24">
                  <c:v>5.511020650291136E-2</c:v>
                </c:pt>
                <c:pt idx="25">
                  <c:v>5.9023983721373761E-2</c:v>
                </c:pt>
                <c:pt idx="26">
                  <c:v>6.2777315905125142E-2</c:v>
                </c:pt>
                <c:pt idx="27">
                  <c:v>6.6213403427511988E-2</c:v>
                </c:pt>
                <c:pt idx="28">
                  <c:v>6.9116418473627164E-2</c:v>
                </c:pt>
                <c:pt idx="29">
                  <c:v>7.1186621706885042E-2</c:v>
                </c:pt>
                <c:pt idx="30">
                  <c:v>7.1999999999999995E-2</c:v>
                </c:pt>
                <c:pt idx="31">
                  <c:v>7.1018672013375028E-2</c:v>
                </c:pt>
                <c:pt idx="32">
                  <c:v>6.7420594318615593E-2</c:v>
                </c:pt>
                <c:pt idx="33">
                  <c:v>5.9687172608352761E-2</c:v>
                </c:pt>
                <c:pt idx="34">
                  <c:v>4.4553853910352985E-2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BC-416C-8268-096791EC7A9A}"/>
            </c:ext>
          </c:extLst>
        </c:ser>
        <c:ser>
          <c:idx val="4"/>
          <c:order val="4"/>
          <c:tx>
            <c:strRef>
              <c:f>Entwicklungsfunktionen!$F$17</c:f>
              <c:strCache>
                <c:ptCount val="1"/>
                <c:pt idx="0">
                  <c:v>Winterpuppe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Entwicklungsfunktionen!$F$18:$F$58</c:f>
              <c:numCache>
                <c:formatCode>General</c:formatCode>
                <c:ptCount val="41"/>
                <c:pt idx="0">
                  <c:v>2.0553857903845601E-2</c:v>
                </c:pt>
                <c:pt idx="1">
                  <c:v>2.2752200143345801E-2</c:v>
                </c:pt>
                <c:pt idx="2">
                  <c:v>2.5137729059244673E-2</c:v>
                </c:pt>
                <c:pt idx="3">
                  <c:v>2.7723166168817485E-2</c:v>
                </c:pt>
                <c:pt idx="4">
                  <c:v>3.0521437669786895E-2</c:v>
                </c:pt>
                <c:pt idx="5">
                  <c:v>3.3545500633918528E-2</c:v>
                </c:pt>
                <c:pt idx="6">
                  <c:v>3.6808113895647365E-2</c:v>
                </c:pt>
                <c:pt idx="7">
                  <c:v>4.032153976528742E-2</c:v>
                </c:pt>
                <c:pt idx="8">
                  <c:v>4.4097159149930454E-2</c:v>
                </c:pt>
                <c:pt idx="9">
                  <c:v>4.814497808795206E-2</c:v>
                </c:pt>
                <c:pt idx="10">
                  <c:v>5.2472997735145695E-2</c:v>
                </c:pt>
                <c:pt idx="11">
                  <c:v>5.7086411968803014E-2</c:v>
                </c:pt>
                <c:pt idx="12">
                  <c:v>6.1986586255892623E-2</c:v>
                </c:pt>
                <c:pt idx="13">
                  <c:v>6.7169757160525881E-2</c:v>
                </c:pt>
                <c:pt idx="14">
                  <c:v>7.2625372176604211E-2</c:v>
                </c:pt>
                <c:pt idx="15">
                  <c:v>7.8333961880382358E-2</c:v>
                </c:pt>
                <c:pt idx="16">
                  <c:v>8.4264396594889227E-2</c:v>
                </c:pt>
                <c:pt idx="17">
                  <c:v>9.0370321111321095E-2</c:v>
                </c:pt>
                <c:pt idx="18">
                  <c:v>9.6585472124699423E-2</c:v>
                </c:pt>
                <c:pt idx="19">
                  <c:v>0.10281744389072341</c:v>
                </c:pt>
                <c:pt idx="20">
                  <c:v>0.1089392415098317</c:v>
                </c:pt>
                <c:pt idx="21">
                  <c:v>0.1147775776201376</c:v>
                </c:pt>
                <c:pt idx="22">
                  <c:v>0.12009618346712786</c:v>
                </c:pt>
                <c:pt idx="23">
                  <c:v>0.12457110653219228</c:v>
                </c:pt>
                <c:pt idx="24">
                  <c:v>0.12775231551342431</c:v>
                </c:pt>
                <c:pt idx="25">
                  <c:v>0.129</c:v>
                </c:pt>
                <c:pt idx="26">
                  <c:v>0.12740606659353565</c:v>
                </c:pt>
                <c:pt idx="27">
                  <c:v>0.1215438749194505</c:v>
                </c:pt>
                <c:pt idx="28">
                  <c:v>0.10884191832966764</c:v>
                </c:pt>
                <c:pt idx="29">
                  <c:v>8.3510375531054268E-2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BC-416C-8268-096791EC7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761984"/>
        <c:axId val="296773120"/>
      </c:scatterChart>
      <c:valAx>
        <c:axId val="29676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773120"/>
        <c:crosses val="autoZero"/>
        <c:crossBetween val="midCat"/>
      </c:valAx>
      <c:valAx>
        <c:axId val="29677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761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spielkram!$B$8</c:f>
              <c:strCache>
                <c:ptCount val="1"/>
                <c:pt idx="0">
                  <c:v>alt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spielkram!$B$9:$B$49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3.1712064521671746E-3</c:v>
                </c:pt>
                <c:pt idx="4">
                  <c:v>6.6478468018564482E-3</c:v>
                </c:pt>
                <c:pt idx="5">
                  <c:v>1.0405015939110897E-2</c:v>
                </c:pt>
                <c:pt idx="6">
                  <c:v>1.445856574913764E-2</c:v>
                </c:pt>
                <c:pt idx="7">
                  <c:v>1.8823731223538913E-2</c:v>
                </c:pt>
                <c:pt idx="8">
                  <c:v>2.351465227718632E-2</c:v>
                </c:pt>
                <c:pt idx="9">
                  <c:v>2.8543760654728315E-2</c:v>
                </c:pt>
                <c:pt idx="10">
                  <c:v>3.392099718609011E-2</c:v>
                </c:pt>
                <c:pt idx="11">
                  <c:v>3.965281487033101E-2</c:v>
                </c:pt>
                <c:pt idx="12">
                  <c:v>4.5740910196715071E-2</c:v>
                </c:pt>
                <c:pt idx="13">
                  <c:v>5.2180607381259417E-2</c:v>
                </c:pt>
                <c:pt idx="14">
                  <c:v>5.8958795734568858E-2</c:v>
                </c:pt>
                <c:pt idx="15">
                  <c:v>6.6051285972596255E-2</c:v>
                </c:pt>
                <c:pt idx="16">
                  <c:v>7.3419401830013872E-2</c:v>
                </c:pt>
                <c:pt idx="17">
                  <c:v>8.100555047164136E-2</c:v>
                </c:pt>
                <c:pt idx="18">
                  <c:v>8.8727404760990197E-2</c:v>
                </c:pt>
                <c:pt idx="19">
                  <c:v>9.6470157561201836E-2</c:v>
                </c:pt>
                <c:pt idx="20">
                  <c:v>0.10407602733039695</c:v>
                </c:pt>
                <c:pt idx="21">
                  <c:v>0.11132971764926186</c:v>
                </c:pt>
                <c:pt idx="22">
                  <c:v>0.1179376824894619</c:v>
                </c:pt>
                <c:pt idx="23">
                  <c:v>0.12349743538848135</c:v>
                </c:pt>
                <c:pt idx="24">
                  <c:v>0.12744984654698169</c:v>
                </c:pt>
                <c:pt idx="25">
                  <c:v>0.129</c:v>
                </c:pt>
                <c:pt idx="26">
                  <c:v>0.12740606659353565</c:v>
                </c:pt>
                <c:pt idx="27">
                  <c:v>0.1215438749194505</c:v>
                </c:pt>
                <c:pt idx="28">
                  <c:v>0.10884191832966764</c:v>
                </c:pt>
                <c:pt idx="29">
                  <c:v>8.3510375531054268E-2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93-48ED-BDD7-6DA5445E22BC}"/>
            </c:ext>
          </c:extLst>
        </c:ser>
        <c:ser>
          <c:idx val="0"/>
          <c:order val="1"/>
          <c:tx>
            <c:v>opt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spielkram!$D$9:$D$49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2.6174462716530775E-3</c:v>
                </c:pt>
                <c:pt idx="4">
                  <c:v>5.8925791934677646E-3</c:v>
                </c:pt>
                <c:pt idx="5">
                  <c:v>9.4057518843526158E-3</c:v>
                </c:pt>
                <c:pt idx="6">
                  <c:v>1.3166221291503841E-2</c:v>
                </c:pt>
                <c:pt idx="7">
                  <c:v>1.7181810800194805E-2</c:v>
                </c:pt>
                <c:pt idx="8">
                  <c:v>2.1458370282902983E-2</c:v>
                </c:pt>
                <c:pt idx="9">
                  <c:v>2.5999109738868868E-2</c:v>
                </c:pt>
                <c:pt idx="10">
                  <c:v>3.0803778657291586E-2</c:v>
                </c:pt>
                <c:pt idx="11">
                  <c:v>3.5867656544392071E-2</c:v>
                </c:pt>
                <c:pt idx="12">
                  <c:v>4.1180311429094396E-2</c:v>
                </c:pt>
                <c:pt idx="13">
                  <c:v>4.6724071897922506E-2</c:v>
                </c:pt>
                <c:pt idx="14">
                  <c:v>5.2472143274594582E-2</c:v>
                </c:pt>
                <c:pt idx="15">
                  <c:v>5.8386278409998521E-2</c:v>
                </c:pt>
                <c:pt idx="16">
                  <c:v>6.4413885816870006E-2</c:v>
                </c:pt>
                <c:pt idx="17">
                  <c:v>7.0484418840320306E-2</c:v>
                </c:pt>
                <c:pt idx="18">
                  <c:v>7.6504833139356923E-2</c:v>
                </c:pt>
                <c:pt idx="19">
                  <c:v>8.2353815776510048E-2</c:v>
                </c:pt>
                <c:pt idx="20">
                  <c:v>8.7874359874480515E-2</c:v>
                </c:pt>
                <c:pt idx="21">
                  <c:v>9.2864051626578056E-2</c:v>
                </c:pt>
                <c:pt idx="22">
                  <c:v>9.7062089143945304E-2</c:v>
                </c:pt>
                <c:pt idx="23">
                  <c:v>0.10013143846547239</c:v>
                </c:pt>
                <c:pt idx="24">
                  <c:v>0.10163337468721011</c:v>
                </c:pt>
                <c:pt idx="25">
                  <c:v>0.10117280654334132</c:v>
                </c:pt>
                <c:pt idx="26">
                  <c:v>9.852470629640496E-2</c:v>
                </c:pt>
                <c:pt idx="27">
                  <c:v>9.2898306869378958E-2</c:v>
                </c:pt>
                <c:pt idx="28">
                  <c:v>8.3093024907129734E-2</c:v>
                </c:pt>
                <c:pt idx="29">
                  <c:v>6.7102458469767215E-2</c:v>
                </c:pt>
                <c:pt idx="30">
                  <c:v>4.0508379273479181E-2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B-49DA-A3E8-8FBBEE8B6FBA}"/>
            </c:ext>
          </c:extLst>
        </c:ser>
        <c:ser>
          <c:idx val="3"/>
          <c:order val="2"/>
          <c:tx>
            <c:v>opt1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spielkram!$E$9:$E$49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1.1945084205911977E-3</c:v>
                </c:pt>
                <c:pt idx="4">
                  <c:v>5.0238633977830183E-3</c:v>
                </c:pt>
                <c:pt idx="5">
                  <c:v>9.1944501579963242E-3</c:v>
                </c:pt>
                <c:pt idx="6">
                  <c:v>1.3726135465822929E-2</c:v>
                </c:pt>
                <c:pt idx="7">
                  <c:v>1.8637491391293975E-2</c:v>
                </c:pt>
                <c:pt idx="8">
                  <c:v>2.394499845243684E-2</c:v>
                </c:pt>
                <c:pt idx="9">
                  <c:v>2.9662038619475313E-2</c:v>
                </c:pt>
                <c:pt idx="10">
                  <c:v>3.5797631261656464E-2</c:v>
                </c:pt>
                <c:pt idx="11">
                  <c:v>4.2354854864742074E-2</c:v>
                </c:pt>
                <c:pt idx="12">
                  <c:v>4.9328884671357535E-2</c:v>
                </c:pt>
                <c:pt idx="13">
                  <c:v>5.670456061092672E-2</c:v>
                </c:pt>
                <c:pt idx="14">
                  <c:v>6.4453380050994991E-2</c:v>
                </c:pt>
                <c:pt idx="15">
                  <c:v>7.2529784701518746E-2</c:v>
                </c:pt>
                <c:pt idx="16">
                  <c:v>8.0866578548108109E-2</c:v>
                </c:pt>
                <c:pt idx="17">
                  <c:v>8.9369271184961546E-2</c:v>
                </c:pt>
                <c:pt idx="18">
                  <c:v>9.7909084097244831E-2</c:v>
                </c:pt>
                <c:pt idx="19">
                  <c:v>0.10631427955519329</c:v>
                </c:pt>
                <c:pt idx="20">
                  <c:v>0.11435936171094563</c:v>
                </c:pt>
                <c:pt idx="21">
                  <c:v>0.12175153809092196</c:v>
                </c:pt>
                <c:pt idx="22">
                  <c:v>0.12811358229100644</c:v>
                </c:pt>
                <c:pt idx="23">
                  <c:v>0.13296183885466975</c:v>
                </c:pt>
                <c:pt idx="24">
                  <c:v>0.13567742288350512</c:v>
                </c:pt>
                <c:pt idx="25">
                  <c:v>0.13557886496212992</c:v>
                </c:pt>
                <c:pt idx="26">
                  <c:v>0.13229165209662969</c:v>
                </c:pt>
                <c:pt idx="27">
                  <c:v>0.1248294454189095</c:v>
                </c:pt>
                <c:pt idx="28">
                  <c:v>0.11178350979651205</c:v>
                </c:pt>
                <c:pt idx="29">
                  <c:v>9.1174042719293927E-2</c:v>
                </c:pt>
                <c:pt idx="30">
                  <c:v>5.9865634861047408E-2</c:v>
                </c:pt>
                <c:pt idx="31">
                  <c:v>9.9396259065212527E-3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7B-4B9D-8460-38A3CDD00A5F}"/>
            </c:ext>
          </c:extLst>
        </c:ser>
        <c:ser>
          <c:idx val="2"/>
          <c:order val="3"/>
          <c:tx>
            <c:v>opt2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spielkram!$F$9:$F$49</c:f>
              <c:numCache>
                <c:formatCode>0,000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2.5703994381498785E-3</c:v>
                </c:pt>
                <c:pt idx="4">
                  <c:v>6.1939566690990683E-3</c:v>
                </c:pt>
                <c:pt idx="5">
                  <c:v>1.0118520023897043E-2</c:v>
                </c:pt>
                <c:pt idx="6">
                  <c:v>1.436057951954442E-2</c:v>
                </c:pt>
                <c:pt idx="7">
                  <c:v>1.8935617798911265E-2</c:v>
                </c:pt>
                <c:pt idx="8">
                  <c:v>2.3857507311628133E-2</c:v>
                </c:pt>
                <c:pt idx="9">
                  <c:v>2.9137749606998498E-2</c:v>
                </c:pt>
                <c:pt idx="10">
                  <c:v>3.478452023142857E-2</c:v>
                </c:pt>
                <c:pt idx="11">
                  <c:v>4.0801473947693359E-2</c:v>
                </c:pt>
                <c:pt idx="12">
                  <c:v>4.71862537814184E-2</c:v>
                </c:pt>
                <c:pt idx="13">
                  <c:v>5.392863291183031E-2</c:v>
                </c:pt>
                <c:pt idx="14">
                  <c:v>6.1008199452985953E-2</c:v>
                </c:pt>
                <c:pt idx="15">
                  <c:v>6.8391468946828557E-2</c:v>
                </c:pt>
                <c:pt idx="16">
                  <c:v>7.6028275244207397E-2</c:v>
                </c:pt>
                <c:pt idx="17">
                  <c:v>8.3847243261508747E-2</c:v>
                </c:pt>
                <c:pt idx="18">
                  <c:v>9.1750080300151263E-2</c:v>
                </c:pt>
                <c:pt idx="19">
                  <c:v>9.9604325385048223E-2</c:v>
                </c:pt>
                <c:pt idx="20">
                  <c:v>0.10723404992088219</c:v>
                </c:pt>
                <c:pt idx="21">
                  <c:v>0.11440777490347946</c:v>
                </c:pt>
                <c:pt idx="22">
                  <c:v>0.12082249825727832</c:v>
                </c:pt>
                <c:pt idx="23">
                  <c:v>0.12608208854144631</c:v>
                </c:pt>
                <c:pt idx="24">
                  <c:v>0.12966714042477751</c:v>
                </c:pt>
                <c:pt idx="25">
                  <c:v>0.1308930051258792</c:v>
                </c:pt>
                <c:pt idx="26">
                  <c:v>0.12927276501951576</c:v>
                </c:pt>
                <c:pt idx="27">
                  <c:v>0.12406980522178306</c:v>
                </c:pt>
                <c:pt idx="28">
                  <c:v>0.11384329375001172</c:v>
                </c:pt>
                <c:pt idx="29">
                  <c:v>9.6329895411339919E-2</c:v>
                </c:pt>
                <c:pt idx="30">
                  <c:v>6.7247569884066966E-2</c:v>
                </c:pt>
                <c:pt idx="31">
                  <c:v>1.0128288177185503E-2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8-491C-B263-3CA475BFB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911232"/>
        <c:axId val="296913536"/>
        <c:extLst/>
      </c:lineChart>
      <c:catAx>
        <c:axId val="29691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913536"/>
        <c:crosses val="autoZero"/>
        <c:auto val="1"/>
        <c:lblAlgn val="ctr"/>
        <c:lblOffset val="100"/>
        <c:noMultiLvlLbl val="0"/>
      </c:catAx>
      <c:valAx>
        <c:axId val="2969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69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723901</xdr:colOff>
      <xdr:row>1</xdr:row>
      <xdr:rowOff>9525</xdr:rowOff>
    </xdr:from>
    <xdr:to>
      <xdr:col>21</xdr:col>
      <xdr:colOff>257175</xdr:colOff>
      <xdr:row>35</xdr:row>
      <xdr:rowOff>123825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252411</xdr:colOff>
      <xdr:row>0</xdr:row>
      <xdr:rowOff>185737</xdr:rowOff>
    </xdr:from>
    <xdr:to>
      <xdr:col>17</xdr:col>
      <xdr:colOff>714374</xdr:colOff>
      <xdr:row>25</xdr:row>
      <xdr:rowOff>104775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</xdr:colOff>
      <xdr:row>20</xdr:row>
      <xdr:rowOff>171450</xdr:rowOff>
    </xdr:from>
    <xdr:to>
      <xdr:col>18</xdr:col>
      <xdr:colOff>114300</xdr:colOff>
      <xdr:row>47</xdr:row>
      <xdr:rowOff>23812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180975</xdr:rowOff>
    </xdr:from>
    <xdr:to>
      <xdr:col>18</xdr:col>
      <xdr:colOff>676275</xdr:colOff>
      <xdr:row>36</xdr:row>
      <xdr:rowOff>138112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32"/>
  <sheetViews>
    <sheetView workbookViewId="0">
      <selection activeCell="F2" sqref="F2"/>
    </sheetView>
  </sheetViews>
  <sheetFormatPr baseColWidth="10" defaultRowHeight="15" x14ac:dyDescent="0.25"/>
  <cols>
    <col min="2" max="2" width="25.1406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0</v>
      </c>
      <c r="B2">
        <f>1-(EXP(-POWER($A2,B$1)))</f>
        <v>0</v>
      </c>
      <c r="C2">
        <f t="shared" ref="C2:J2" si="0">1-(EXP(-POWER($A2,C$1)))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</row>
    <row r="3" spans="1:10" x14ac:dyDescent="0.25">
      <c r="A3">
        <v>0.05</v>
      </c>
      <c r="B3">
        <f t="shared" ref="B3:J32" si="1">1-(EXP(-POWER($A3,B$1)))</f>
        <v>4.8770575499285984E-2</v>
      </c>
      <c r="C3">
        <f t="shared" si="1"/>
        <v>2.4968776025399153E-3</v>
      </c>
      <c r="D3">
        <f t="shared" si="1"/>
        <v>1.2499218782546784E-4</v>
      </c>
      <c r="E3">
        <f t="shared" si="1"/>
        <v>6.2499804688309624E-6</v>
      </c>
      <c r="F3">
        <f t="shared" si="1"/>
        <v>3.1249995113835638E-7</v>
      </c>
      <c r="G3">
        <f t="shared" si="1"/>
        <v>1.5624999849528365E-8</v>
      </c>
      <c r="H3">
        <f t="shared" si="1"/>
        <v>7.8124995361861238E-10</v>
      </c>
      <c r="I3">
        <f t="shared" si="1"/>
        <v>3.9062530987621358E-11</v>
      </c>
      <c r="J3">
        <f t="shared" si="1"/>
        <v>1.9531043449205754E-12</v>
      </c>
    </row>
    <row r="4" spans="1:10" x14ac:dyDescent="0.25">
      <c r="A4">
        <v>0.1</v>
      </c>
      <c r="B4">
        <f t="shared" si="1"/>
        <v>9.5162581964040482E-2</v>
      </c>
      <c r="C4">
        <f t="shared" si="1"/>
        <v>9.9501662508318933E-3</v>
      </c>
      <c r="D4">
        <f t="shared" si="1"/>
        <v>9.9950016662497809E-4</v>
      </c>
      <c r="E4">
        <f t="shared" si="1"/>
        <v>9.999500016666385E-5</v>
      </c>
      <c r="F4">
        <f t="shared" si="1"/>
        <v>9.9999500001723973E-6</v>
      </c>
      <c r="G4">
        <f t="shared" si="1"/>
        <v>9.9999949998430537E-7</v>
      </c>
      <c r="H4">
        <f t="shared" si="1"/>
        <v>9.9999994951360804E-8</v>
      </c>
      <c r="I4">
        <f t="shared" si="1"/>
        <v>9.9999999392252903E-9</v>
      </c>
      <c r="J4">
        <f t="shared" si="1"/>
        <v>9.9999997171806854E-10</v>
      </c>
    </row>
    <row r="5" spans="1:10" x14ac:dyDescent="0.25">
      <c r="A5">
        <v>0.15</v>
      </c>
      <c r="B5">
        <f t="shared" si="1"/>
        <v>0.13929202357494219</v>
      </c>
      <c r="C5">
        <f t="shared" si="1"/>
        <v>2.2248762806663658E-2</v>
      </c>
      <c r="D5">
        <f t="shared" si="1"/>
        <v>3.3693110893241451E-3</v>
      </c>
      <c r="E5">
        <f t="shared" si="1"/>
        <v>5.0612187709042633E-4</v>
      </c>
      <c r="F5">
        <f t="shared" si="1"/>
        <v>7.5934616820982903E-5</v>
      </c>
      <c r="G5">
        <f t="shared" si="1"/>
        <v>1.1390560127111371E-5</v>
      </c>
      <c r="H5">
        <f t="shared" si="1"/>
        <v>1.7085922903170569E-6</v>
      </c>
      <c r="I5">
        <f t="shared" si="1"/>
        <v>2.5628902966534639E-7</v>
      </c>
      <c r="J5">
        <f t="shared" si="1"/>
        <v>3.8443358607587186E-8</v>
      </c>
    </row>
    <row r="6" spans="1:10" x14ac:dyDescent="0.25">
      <c r="A6">
        <v>0.2</v>
      </c>
      <c r="B6">
        <f t="shared" si="1"/>
        <v>0.18126924692201818</v>
      </c>
      <c r="C6">
        <f t="shared" si="1"/>
        <v>3.9210560847676823E-2</v>
      </c>
      <c r="D6">
        <f t="shared" si="1"/>
        <v>7.9680851629393423E-3</v>
      </c>
      <c r="E6">
        <f t="shared" si="1"/>
        <v>1.5987206823936395E-3</v>
      </c>
      <c r="F6">
        <f t="shared" si="1"/>
        <v>3.1994880546093452E-4</v>
      </c>
      <c r="G6">
        <f t="shared" si="1"/>
        <v>6.3997952043703954E-5</v>
      </c>
      <c r="H6">
        <f t="shared" si="1"/>
        <v>1.2799918080341754E-5</v>
      </c>
      <c r="I6">
        <f t="shared" si="1"/>
        <v>2.5599967231615395E-6</v>
      </c>
      <c r="J6">
        <f t="shared" si="1"/>
        <v>5.1199986894623351E-7</v>
      </c>
    </row>
    <row r="7" spans="1:10" x14ac:dyDescent="0.25">
      <c r="A7">
        <v>0.25</v>
      </c>
      <c r="B7">
        <f t="shared" si="1"/>
        <v>0.22119921692859512</v>
      </c>
      <c r="C7">
        <f t="shared" si="1"/>
        <v>6.0586937186524192E-2</v>
      </c>
      <c r="D7">
        <f t="shared" si="1"/>
        <v>1.5503562994591547E-2</v>
      </c>
      <c r="E7">
        <f t="shared" si="1"/>
        <v>3.8986305298824853E-3</v>
      </c>
      <c r="F7">
        <f t="shared" si="1"/>
        <v>9.7608581802433037E-4</v>
      </c>
      <c r="G7">
        <f t="shared" si="1"/>
        <v>2.4411082510278348E-4</v>
      </c>
      <c r="H7">
        <f t="shared" si="1"/>
        <v>6.1033293642709374E-5</v>
      </c>
      <c r="I7">
        <f t="shared" si="1"/>
        <v>1.5258672647733285E-5</v>
      </c>
      <c r="J7">
        <f t="shared" si="1"/>
        <v>3.8146899896673858E-6</v>
      </c>
    </row>
    <row r="8" spans="1:10" x14ac:dyDescent="0.25">
      <c r="A8">
        <v>0.3</v>
      </c>
      <c r="B8">
        <f t="shared" si="1"/>
        <v>0.25918177931828212</v>
      </c>
      <c r="C8">
        <f t="shared" si="1"/>
        <v>8.6068814728771814E-2</v>
      </c>
      <c r="D8">
        <f t="shared" si="1"/>
        <v>2.6638758475663216E-2</v>
      </c>
      <c r="E8">
        <f t="shared" si="1"/>
        <v>8.0672833944288591E-3</v>
      </c>
      <c r="F8">
        <f t="shared" si="1"/>
        <v>2.4270499400323997E-3</v>
      </c>
      <c r="G8">
        <f t="shared" si="1"/>
        <v>7.2873434405829052E-4</v>
      </c>
      <c r="H8">
        <f t="shared" si="1"/>
        <v>2.186760868982951E-4</v>
      </c>
      <c r="I8">
        <f t="shared" si="1"/>
        <v>6.5607847711035561E-5</v>
      </c>
      <c r="J8">
        <f t="shared" si="1"/>
        <v>1.9682806291054789E-5</v>
      </c>
    </row>
    <row r="9" spans="1:10" x14ac:dyDescent="0.25">
      <c r="A9">
        <v>0.35</v>
      </c>
      <c r="B9">
        <f t="shared" si="1"/>
        <v>0.29531191028128656</v>
      </c>
      <c r="C9">
        <f t="shared" si="1"/>
        <v>0.11529409505651644</v>
      </c>
      <c r="D9">
        <f t="shared" si="1"/>
        <v>4.1968863525216338E-2</v>
      </c>
      <c r="E9">
        <f t="shared" si="1"/>
        <v>1.4894217327319437E-2</v>
      </c>
      <c r="F9">
        <f t="shared" si="1"/>
        <v>5.2384188789056374E-3</v>
      </c>
      <c r="G9">
        <f t="shared" si="1"/>
        <v>1.8365770495878397E-3</v>
      </c>
      <c r="H9">
        <f t="shared" si="1"/>
        <v>6.4318603587598666E-4</v>
      </c>
      <c r="I9">
        <f t="shared" si="1"/>
        <v>2.2516218625168172E-4</v>
      </c>
      <c r="J9">
        <f t="shared" si="1"/>
        <v>7.8812532801064705E-5</v>
      </c>
    </row>
    <row r="10" spans="1:10" x14ac:dyDescent="0.25">
      <c r="A10">
        <v>0.4</v>
      </c>
      <c r="B10">
        <f t="shared" si="1"/>
        <v>0.32967995396436067</v>
      </c>
      <c r="C10">
        <f t="shared" si="1"/>
        <v>0.14785621103378865</v>
      </c>
      <c r="D10">
        <f t="shared" si="1"/>
        <v>6.1995000469270534E-2</v>
      </c>
      <c r="E10">
        <f t="shared" si="1"/>
        <v>2.5275098398206075E-2</v>
      </c>
      <c r="F10">
        <f t="shared" si="1"/>
        <v>1.0187749699777426E-2</v>
      </c>
      <c r="G10">
        <f t="shared" si="1"/>
        <v>4.0876228335275933E-3</v>
      </c>
      <c r="H10">
        <f t="shared" si="1"/>
        <v>1.6370585554276174E-3</v>
      </c>
      <c r="I10">
        <f t="shared" si="1"/>
        <v>6.5514529854004966E-4</v>
      </c>
      <c r="J10">
        <f t="shared" si="1"/>
        <v>2.6210964326378594E-4</v>
      </c>
    </row>
    <row r="11" spans="1:10" x14ac:dyDescent="0.25">
      <c r="A11">
        <v>0.45</v>
      </c>
      <c r="B11">
        <f t="shared" si="1"/>
        <v>0.36237184837822667</v>
      </c>
      <c r="C11">
        <f t="shared" si="1"/>
        <v>0.18331351740188917</v>
      </c>
      <c r="D11">
        <f t="shared" si="1"/>
        <v>8.7096409181942946E-2</v>
      </c>
      <c r="E11">
        <f t="shared" si="1"/>
        <v>4.0176868965516643E-2</v>
      </c>
      <c r="F11">
        <f t="shared" si="1"/>
        <v>1.8283601758623758E-2</v>
      </c>
      <c r="G11">
        <f t="shared" si="1"/>
        <v>8.2693845930481569E-3</v>
      </c>
      <c r="H11">
        <f t="shared" si="1"/>
        <v>3.7297217759626466E-3</v>
      </c>
      <c r="I11">
        <f t="shared" si="1"/>
        <v>1.680099588928452E-3</v>
      </c>
      <c r="J11">
        <f t="shared" si="1"/>
        <v>7.5639443197528244E-4</v>
      </c>
    </row>
    <row r="12" spans="1:10" x14ac:dyDescent="0.25">
      <c r="A12">
        <v>0.5</v>
      </c>
      <c r="B12">
        <f t="shared" si="1"/>
        <v>0.39346934028736658</v>
      </c>
      <c r="C12">
        <f t="shared" si="1"/>
        <v>0.22119921692859512</v>
      </c>
      <c r="D12">
        <f t="shared" si="1"/>
        <v>0.11750309741540454</v>
      </c>
      <c r="E12">
        <f t="shared" si="1"/>
        <v>6.0586937186524192E-2</v>
      </c>
      <c r="F12">
        <f t="shared" si="1"/>
        <v>3.076676552365587E-2</v>
      </c>
      <c r="G12">
        <f t="shared" si="1"/>
        <v>1.5503562994591547E-2</v>
      </c>
      <c r="H12">
        <f t="shared" si="1"/>
        <v>7.7820617397564851E-3</v>
      </c>
      <c r="I12">
        <f t="shared" si="1"/>
        <v>3.8986305298824853E-3</v>
      </c>
      <c r="J12">
        <f t="shared" si="1"/>
        <v>1.9512188925244756E-3</v>
      </c>
    </row>
    <row r="13" spans="1:10" x14ac:dyDescent="0.25">
      <c r="A13">
        <v>0.55000000000000004</v>
      </c>
      <c r="B13">
        <f t="shared" si="1"/>
        <v>0.42305018961951335</v>
      </c>
      <c r="C13">
        <f t="shared" si="1"/>
        <v>0.26103151174105577</v>
      </c>
      <c r="D13">
        <f t="shared" si="1"/>
        <v>0.15327134859792713</v>
      </c>
      <c r="E13">
        <f t="shared" si="1"/>
        <v>8.7444387338391327E-2</v>
      </c>
      <c r="F13">
        <f t="shared" si="1"/>
        <v>4.908294361388621E-2</v>
      </c>
      <c r="G13">
        <f t="shared" si="1"/>
        <v>2.7301042265250763E-2</v>
      </c>
      <c r="H13">
        <f t="shared" si="1"/>
        <v>1.5109047778997908E-2</v>
      </c>
      <c r="I13">
        <f t="shared" si="1"/>
        <v>8.3384345711039476E-3</v>
      </c>
      <c r="J13">
        <f t="shared" si="1"/>
        <v>4.5947781440832669E-3</v>
      </c>
    </row>
    <row r="14" spans="1:10" x14ac:dyDescent="0.25">
      <c r="A14">
        <v>0.6</v>
      </c>
      <c r="B14">
        <f t="shared" si="1"/>
        <v>0.45118836390597361</v>
      </c>
      <c r="C14">
        <f t="shared" si="1"/>
        <v>0.30232367392896897</v>
      </c>
      <c r="D14">
        <f t="shared" si="1"/>
        <v>0.19426469812652036</v>
      </c>
      <c r="E14">
        <f t="shared" si="1"/>
        <v>0.12155326065006866</v>
      </c>
      <c r="F14">
        <f t="shared" si="1"/>
        <v>7.4813555352983507E-2</v>
      </c>
      <c r="G14">
        <f t="shared" si="1"/>
        <v>4.5584339886940994E-2</v>
      </c>
      <c r="H14">
        <f t="shared" si="1"/>
        <v>2.7605409893290966E-2</v>
      </c>
      <c r="I14">
        <f t="shared" si="1"/>
        <v>1.665589092984987E-2</v>
      </c>
      <c r="J14">
        <f t="shared" si="1"/>
        <v>1.0027086174490996E-2</v>
      </c>
    </row>
    <row r="15" spans="1:10" x14ac:dyDescent="0.25">
      <c r="A15">
        <v>0.65</v>
      </c>
      <c r="B15">
        <f t="shared" si="1"/>
        <v>0.47795422323898396</v>
      </c>
      <c r="C15">
        <f t="shared" si="1"/>
        <v>0.34459374567315948</v>
      </c>
      <c r="D15">
        <f t="shared" si="1"/>
        <v>0.24014298381473076</v>
      </c>
      <c r="E15">
        <f t="shared" si="1"/>
        <v>0.16348117138162466</v>
      </c>
      <c r="F15">
        <f t="shared" si="1"/>
        <v>0.10955065576264755</v>
      </c>
      <c r="G15">
        <f t="shared" si="1"/>
        <v>7.2645055336363118E-2</v>
      </c>
      <c r="H15">
        <f t="shared" si="1"/>
        <v>4.7840083619311136E-2</v>
      </c>
      <c r="I15">
        <f t="shared" si="1"/>
        <v>3.1362158263395723E-2</v>
      </c>
      <c r="J15">
        <f t="shared" si="1"/>
        <v>2.0498894379297861E-2</v>
      </c>
    </row>
    <row r="16" spans="1:10" x14ac:dyDescent="0.25">
      <c r="A16">
        <v>0.7</v>
      </c>
      <c r="B16">
        <f t="shared" si="1"/>
        <v>0.50341469620859047</v>
      </c>
      <c r="C16">
        <f t="shared" si="1"/>
        <v>0.38737360581558389</v>
      </c>
      <c r="D16">
        <f t="shared" si="1"/>
        <v>0.29036178843979132</v>
      </c>
      <c r="E16">
        <f t="shared" si="1"/>
        <v>0.21345079778654497</v>
      </c>
      <c r="F16">
        <f t="shared" si="1"/>
        <v>0.15470533801270059</v>
      </c>
      <c r="G16">
        <f t="shared" si="1"/>
        <v>0.11099196032038805</v>
      </c>
      <c r="H16">
        <f t="shared" si="1"/>
        <v>7.9054390142506814E-2</v>
      </c>
      <c r="I16">
        <f t="shared" si="1"/>
        <v>5.601783875366384E-2</v>
      </c>
      <c r="J16">
        <f t="shared" si="1"/>
        <v>3.9550242658414669E-2</v>
      </c>
    </row>
    <row r="17" spans="1:10" x14ac:dyDescent="0.25">
      <c r="A17">
        <v>0.75</v>
      </c>
      <c r="B17">
        <f t="shared" si="1"/>
        <v>0.52763344725898531</v>
      </c>
      <c r="C17">
        <f t="shared" si="1"/>
        <v>0.43021717526907699</v>
      </c>
      <c r="D17">
        <f t="shared" si="1"/>
        <v>0.34418398872849842</v>
      </c>
      <c r="E17">
        <f t="shared" si="1"/>
        <v>0.27123667008050878</v>
      </c>
      <c r="F17">
        <f t="shared" si="1"/>
        <v>0.21124907114638225</v>
      </c>
      <c r="G17">
        <f t="shared" si="1"/>
        <v>0.16303959513319366</v>
      </c>
      <c r="H17">
        <f t="shared" si="1"/>
        <v>0.12495843134507845</v>
      </c>
      <c r="I17">
        <f t="shared" si="1"/>
        <v>9.5264745948409502E-2</v>
      </c>
      <c r="J17">
        <f t="shared" si="1"/>
        <v>7.2335077488760557E-2</v>
      </c>
    </row>
    <row r="18" spans="1:10" x14ac:dyDescent="0.25">
      <c r="A18">
        <v>0.8</v>
      </c>
      <c r="B18">
        <f t="shared" si="1"/>
        <v>0.55067103588277844</v>
      </c>
      <c r="C18">
        <f t="shared" si="1"/>
        <v>0.47270757595695145</v>
      </c>
      <c r="D18">
        <f t="shared" si="1"/>
        <v>0.40070421215446161</v>
      </c>
      <c r="E18">
        <f t="shared" si="1"/>
        <v>0.33608423666452658</v>
      </c>
      <c r="F18">
        <f t="shared" si="1"/>
        <v>0.27940642724187204</v>
      </c>
      <c r="G18">
        <f t="shared" si="1"/>
        <v>0.23059977790193087</v>
      </c>
      <c r="H18">
        <f t="shared" si="1"/>
        <v>0.18918486675977408</v>
      </c>
      <c r="I18">
        <f t="shared" si="1"/>
        <v>0.15445353795437111</v>
      </c>
      <c r="J18">
        <f t="shared" si="1"/>
        <v>0.12560033741357468</v>
      </c>
    </row>
    <row r="19" spans="1:10" x14ac:dyDescent="0.25">
      <c r="A19">
        <v>0.85</v>
      </c>
      <c r="B19">
        <f t="shared" si="1"/>
        <v>0.57258506805127329</v>
      </c>
      <c r="C19">
        <f t="shared" si="1"/>
        <v>0.5144631048459205</v>
      </c>
      <c r="D19">
        <f t="shared" si="1"/>
        <v>0.45888583688281726</v>
      </c>
      <c r="E19">
        <f t="shared" si="1"/>
        <v>0.40667101319470389</v>
      </c>
      <c r="F19">
        <f t="shared" si="1"/>
        <v>0.35834551947608351</v>
      </c>
      <c r="G19">
        <f t="shared" si="1"/>
        <v>0.31418647360804774</v>
      </c>
      <c r="H19">
        <f t="shared" si="1"/>
        <v>0.27426989413427338</v>
      </c>
      <c r="I19">
        <f t="shared" si="1"/>
        <v>0.23851935585961759</v>
      </c>
      <c r="J19">
        <f t="shared" si="1"/>
        <v>0.20675007755158348</v>
      </c>
    </row>
    <row r="20" spans="1:10" x14ac:dyDescent="0.25">
      <c r="A20">
        <v>0.9</v>
      </c>
      <c r="B20">
        <f t="shared" si="1"/>
        <v>0.59343034025940089</v>
      </c>
      <c r="C20">
        <f t="shared" si="1"/>
        <v>0.55514193377705889</v>
      </c>
      <c r="D20">
        <f t="shared" si="1"/>
        <v>0.51760885988487404</v>
      </c>
      <c r="E20">
        <f t="shared" si="1"/>
        <v>0.48112900953454774</v>
      </c>
      <c r="F20">
        <f t="shared" si="1"/>
        <v>0.4459442690988904</v>
      </c>
      <c r="G20">
        <f t="shared" si="1"/>
        <v>0.41224259926286588</v>
      </c>
      <c r="H20">
        <f t="shared" si="1"/>
        <v>0.38016186028363697</v>
      </c>
      <c r="I20">
        <f t="shared" si="1"/>
        <v>0.34979475864363618</v>
      </c>
      <c r="J20">
        <f t="shared" si="1"/>
        <v>0.32119439538180428</v>
      </c>
    </row>
    <row r="21" spans="1:10" x14ac:dyDescent="0.25">
      <c r="A21">
        <v>0.95</v>
      </c>
      <c r="B21">
        <f t="shared" si="1"/>
        <v>0.61325897654549877</v>
      </c>
      <c r="C21">
        <f t="shared" si="1"/>
        <v>0.59444549493667942</v>
      </c>
      <c r="D21">
        <f t="shared" si="1"/>
        <v>0.57572565801403286</v>
      </c>
      <c r="E21">
        <f t="shared" si="1"/>
        <v>0.55714206550656964</v>
      </c>
      <c r="F21">
        <f t="shared" si="1"/>
        <v>0.53873424982983464</v>
      </c>
      <c r="G21">
        <f t="shared" si="1"/>
        <v>0.52053860105703897</v>
      </c>
      <c r="H21">
        <f t="shared" si="1"/>
        <v>0.50258833507762868</v>
      </c>
      <c r="I21">
        <f t="shared" si="1"/>
        <v>0.48491350001638633</v>
      </c>
      <c r="J21">
        <f t="shared" si="1"/>
        <v>0.46754101600390563</v>
      </c>
    </row>
    <row r="22" spans="1:10" x14ac:dyDescent="0.25">
      <c r="A22">
        <v>1</v>
      </c>
      <c r="B22">
        <f t="shared" si="1"/>
        <v>0.63212055882855767</v>
      </c>
      <c r="C22">
        <f t="shared" si="1"/>
        <v>0.63212055882855767</v>
      </c>
      <c r="D22">
        <f t="shared" si="1"/>
        <v>0.63212055882855767</v>
      </c>
      <c r="E22">
        <f t="shared" si="1"/>
        <v>0.63212055882855767</v>
      </c>
      <c r="F22">
        <f t="shared" si="1"/>
        <v>0.63212055882855767</v>
      </c>
      <c r="G22">
        <f t="shared" si="1"/>
        <v>0.63212055882855767</v>
      </c>
      <c r="H22">
        <f t="shared" si="1"/>
        <v>0.63212055882855767</v>
      </c>
      <c r="I22">
        <f t="shared" si="1"/>
        <v>0.63212055882855767</v>
      </c>
      <c r="J22">
        <f t="shared" si="1"/>
        <v>0.63212055882855767</v>
      </c>
    </row>
    <row r="23" spans="1:10" x14ac:dyDescent="0.25">
      <c r="A23">
        <v>1.05</v>
      </c>
      <c r="B23">
        <f t="shared" si="1"/>
        <v>0.65006225088884473</v>
      </c>
      <c r="C23">
        <f t="shared" si="1"/>
        <v>0.66796005465533936</v>
      </c>
      <c r="D23">
        <f t="shared" si="1"/>
        <v>0.68576840460845279</v>
      </c>
      <c r="E23">
        <f t="shared" si="1"/>
        <v>0.7034401571353408</v>
      </c>
      <c r="F23">
        <f t="shared" si="1"/>
        <v>0.72092691065774672</v>
      </c>
      <c r="G23">
        <f t="shared" si="1"/>
        <v>0.73817937330554062</v>
      </c>
      <c r="H23">
        <f t="shared" si="1"/>
        <v>0.75514777719813486</v>
      </c>
      <c r="I23">
        <f t="shared" si="1"/>
        <v>0.77178233714648048</v>
      </c>
      <c r="J23">
        <f t="shared" si="1"/>
        <v>0.7880337501869159</v>
      </c>
    </row>
    <row r="24" spans="1:10" x14ac:dyDescent="0.25">
      <c r="A24">
        <v>1.1000000000000001</v>
      </c>
      <c r="B24">
        <f t="shared" si="1"/>
        <v>0.6671289163019205</v>
      </c>
      <c r="C24">
        <f t="shared" si="1"/>
        <v>0.70180272057011273</v>
      </c>
      <c r="D24">
        <f t="shared" si="1"/>
        <v>0.73578708376691382</v>
      </c>
      <c r="E24">
        <f t="shared" si="1"/>
        <v>0.76871394471567145</v>
      </c>
      <c r="F24">
        <f t="shared" si="1"/>
        <v>0.80021430261706838</v>
      </c>
      <c r="G24">
        <f t="shared" si="1"/>
        <v>0.82993269355110288</v>
      </c>
      <c r="H24">
        <f t="shared" si="1"/>
        <v>0.85754328787732592</v>
      </c>
      <c r="I24">
        <f t="shared" si="1"/>
        <v>0.88276664108983138</v>
      </c>
      <c r="J24">
        <f t="shared" si="1"/>
        <v>0.9053857983460688</v>
      </c>
    </row>
    <row r="25" spans="1:10" x14ac:dyDescent="0.25">
      <c r="A25">
        <v>1.1499999999999999</v>
      </c>
      <c r="B25">
        <f t="shared" si="1"/>
        <v>0.68336323062094673</v>
      </c>
      <c r="C25">
        <f t="shared" si="1"/>
        <v>0.73353170218647579</v>
      </c>
      <c r="D25">
        <f t="shared" si="1"/>
        <v>0.78147940224763879</v>
      </c>
      <c r="E25">
        <f t="shared" si="1"/>
        <v>0.82605328286054258</v>
      </c>
      <c r="F25">
        <f t="shared" si="1"/>
        <v>0.86619304974065447</v>
      </c>
      <c r="G25">
        <f t="shared" si="1"/>
        <v>0.90104209938712421</v>
      </c>
      <c r="H25">
        <f t="shared" si="1"/>
        <v>0.93005316884495826</v>
      </c>
      <c r="I25">
        <f t="shared" si="1"/>
        <v>0.95306646666513251</v>
      </c>
      <c r="J25">
        <f t="shared" si="1"/>
        <v>0.97033763747646018</v>
      </c>
    </row>
    <row r="26" spans="1:10" x14ac:dyDescent="0.25">
      <c r="A26">
        <v>1.2</v>
      </c>
      <c r="B26">
        <f t="shared" si="1"/>
        <v>0.69880578808779781</v>
      </c>
      <c r="C26">
        <f t="shared" si="1"/>
        <v>0.76307224131787821</v>
      </c>
      <c r="D26">
        <f t="shared" si="1"/>
        <v>0.82236066640486505</v>
      </c>
      <c r="E26">
        <f t="shared" si="1"/>
        <v>0.87426767040557207</v>
      </c>
      <c r="F26">
        <f t="shared" si="1"/>
        <v>0.91695062761288726</v>
      </c>
      <c r="G26">
        <f t="shared" si="1"/>
        <v>0.94951020286279231</v>
      </c>
      <c r="H26">
        <f t="shared" si="1"/>
        <v>0.97221282789912877</v>
      </c>
      <c r="I26">
        <f t="shared" si="1"/>
        <v>0.98642895717144552</v>
      </c>
      <c r="J26">
        <f t="shared" si="1"/>
        <v>0.99425703902297824</v>
      </c>
    </row>
    <row r="27" spans="1:10" x14ac:dyDescent="0.25">
      <c r="A27">
        <v>1.25</v>
      </c>
      <c r="B27">
        <f t="shared" si="1"/>
        <v>0.71349520313980985</v>
      </c>
      <c r="C27">
        <f t="shared" si="1"/>
        <v>0.79038861284890216</v>
      </c>
      <c r="D27">
        <f t="shared" si="1"/>
        <v>0.85816984091265747</v>
      </c>
      <c r="E27">
        <f t="shared" si="1"/>
        <v>0.91296163234377647</v>
      </c>
      <c r="F27">
        <f t="shared" si="1"/>
        <v>0.95272425059370947</v>
      </c>
      <c r="G27">
        <f t="shared" si="1"/>
        <v>0.9779556129626843</v>
      </c>
      <c r="H27">
        <f t="shared" si="1"/>
        <v>0.99150579898660351</v>
      </c>
      <c r="I27">
        <f t="shared" si="1"/>
        <v>0.99742128606088531</v>
      </c>
      <c r="J27">
        <f t="shared" si="1"/>
        <v>0.99941889587303678</v>
      </c>
    </row>
    <row r="28" spans="1:10" x14ac:dyDescent="0.25">
      <c r="A28">
        <v>1.3</v>
      </c>
      <c r="B28">
        <f t="shared" si="1"/>
        <v>0.72746820696598746</v>
      </c>
      <c r="C28">
        <f t="shared" si="1"/>
        <v>0.81548047600701079</v>
      </c>
      <c r="D28">
        <f t="shared" si="1"/>
        <v>0.88886393304937816</v>
      </c>
      <c r="E28">
        <f t="shared" si="1"/>
        <v>0.94250745547383552</v>
      </c>
      <c r="F28">
        <f t="shared" si="1"/>
        <v>0.9755940909055304</v>
      </c>
      <c r="G28">
        <f t="shared" si="1"/>
        <v>0.99198795304009968</v>
      </c>
      <c r="H28">
        <f t="shared" si="1"/>
        <v>0.99811692970760268</v>
      </c>
      <c r="I28">
        <f t="shared" si="1"/>
        <v>0.99971336680046263</v>
      </c>
      <c r="J28">
        <f t="shared" si="1"/>
        <v>0.9999751958448635</v>
      </c>
    </row>
    <row r="29" spans="1:10" x14ac:dyDescent="0.25">
      <c r="A29">
        <v>1.35</v>
      </c>
      <c r="B29">
        <f t="shared" si="1"/>
        <v>0.74075973935410855</v>
      </c>
      <c r="C29">
        <f t="shared" si="1"/>
        <v>0.83837880753466076</v>
      </c>
      <c r="D29">
        <f t="shared" si="1"/>
        <v>0.91459708113289739</v>
      </c>
      <c r="E29">
        <f t="shared" si="1"/>
        <v>0.96390158245779201</v>
      </c>
      <c r="F29">
        <f t="shared" si="1"/>
        <v>0.98871220739329058</v>
      </c>
      <c r="G29">
        <f t="shared" si="1"/>
        <v>0.99765024718302675</v>
      </c>
      <c r="H29">
        <f t="shared" si="1"/>
        <v>0.99971759008405547</v>
      </c>
      <c r="I29">
        <f t="shared" si="1"/>
        <v>0.99998383082278008</v>
      </c>
      <c r="J29">
        <f t="shared" si="1"/>
        <v>0.99999965980439909</v>
      </c>
    </row>
    <row r="30" spans="1:10" x14ac:dyDescent="0.25">
      <c r="A30">
        <v>1.4</v>
      </c>
      <c r="B30">
        <f t="shared" si="1"/>
        <v>0.75340303605839354</v>
      </c>
      <c r="C30">
        <f t="shared" si="1"/>
        <v>0.85914157907895494</v>
      </c>
      <c r="D30">
        <f t="shared" si="1"/>
        <v>0.93568741861969118</v>
      </c>
      <c r="E30">
        <f t="shared" si="1"/>
        <v>0.97854076091991959</v>
      </c>
      <c r="F30">
        <f t="shared" ref="F30:J32" si="2">1-(EXP(-POWER($A30,F$1)))</f>
        <v>0.99538406116262723</v>
      </c>
      <c r="G30">
        <f t="shared" si="2"/>
        <v>0.99946301263897575</v>
      </c>
      <c r="H30">
        <f t="shared" si="2"/>
        <v>0.99997357897332873</v>
      </c>
      <c r="I30">
        <f t="shared" si="2"/>
        <v>0.99999961030075424</v>
      </c>
      <c r="J30">
        <f t="shared" si="2"/>
        <v>0.9999999989358046</v>
      </c>
    </row>
    <row r="31" spans="1:10" x14ac:dyDescent="0.25">
      <c r="A31">
        <v>1.45</v>
      </c>
      <c r="B31">
        <f t="shared" si="1"/>
        <v>0.76542971190620235</v>
      </c>
      <c r="C31">
        <f t="shared" si="1"/>
        <v>0.87784933046001001</v>
      </c>
      <c r="D31">
        <f t="shared" si="1"/>
        <v>0.95257591229831184</v>
      </c>
      <c r="E31">
        <f t="shared" si="1"/>
        <v>0.98797185850350955</v>
      </c>
      <c r="F31">
        <f t="shared" si="2"/>
        <v>0.99835453796605045</v>
      </c>
      <c r="G31">
        <f t="shared" si="2"/>
        <v>0.99990803609461087</v>
      </c>
      <c r="H31">
        <f t="shared" si="2"/>
        <v>0.99999859639392685</v>
      </c>
      <c r="I31">
        <f t="shared" si="2"/>
        <v>0.99999999673783746</v>
      </c>
      <c r="J31">
        <f t="shared" si="2"/>
        <v>0.99999999999950506</v>
      </c>
    </row>
    <row r="32" spans="1:10" x14ac:dyDescent="0.25">
      <c r="A32">
        <v>1.5</v>
      </c>
      <c r="B32">
        <f t="shared" si="1"/>
        <v>0.77686983985157021</v>
      </c>
      <c r="C32">
        <f t="shared" si="1"/>
        <v>0.89460077543813565</v>
      </c>
      <c r="D32">
        <f t="shared" si="1"/>
        <v>0.96578188168833401</v>
      </c>
      <c r="E32">
        <f t="shared" si="1"/>
        <v>0.99367028457251427</v>
      </c>
      <c r="F32">
        <f t="shared" si="2"/>
        <v>0.99949641095026309</v>
      </c>
      <c r="G32">
        <f t="shared" si="2"/>
        <v>0.99998869906395682</v>
      </c>
      <c r="H32">
        <f t="shared" si="2"/>
        <v>0.99999996200979602</v>
      </c>
      <c r="I32">
        <f t="shared" si="2"/>
        <v>0.99999999999259526</v>
      </c>
      <c r="J32">
        <f t="shared" si="2"/>
        <v>1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P13"/>
  <sheetViews>
    <sheetView topLeftCell="F2" workbookViewId="0">
      <selection activeCell="B3" sqref="B3"/>
    </sheetView>
  </sheetViews>
  <sheetFormatPr baseColWidth="10" defaultRowHeight="15" x14ac:dyDescent="0.25"/>
  <sheetData>
    <row r="2" spans="1:16" x14ac:dyDescent="0.25">
      <c r="B2">
        <v>1</v>
      </c>
      <c r="C2">
        <v>5</v>
      </c>
      <c r="D2">
        <v>10</v>
      </c>
      <c r="E2">
        <v>25</v>
      </c>
      <c r="F2">
        <v>40</v>
      </c>
      <c r="G2">
        <v>50</v>
      </c>
      <c r="P2">
        <v>20</v>
      </c>
    </row>
    <row r="3" spans="1:16" x14ac:dyDescent="0.25">
      <c r="A3">
        <v>0</v>
      </c>
      <c r="B3">
        <f>$P$2+((1-EXP(-POWER($A3, B$2/10)))*10)</f>
        <v>20</v>
      </c>
      <c r="C3">
        <f>$P$2+((1-EXP(-POWER($A3, C$2/10)))*10)</f>
        <v>20</v>
      </c>
      <c r="D3">
        <f t="shared" ref="D3:G13" si="0">$P$2+((1-EXP(-POWER($A3, D$2/10)))*10)</f>
        <v>20</v>
      </c>
      <c r="E3">
        <f t="shared" si="0"/>
        <v>20</v>
      </c>
      <c r="F3">
        <f t="shared" si="0"/>
        <v>20</v>
      </c>
      <c r="G3">
        <f t="shared" si="0"/>
        <v>20</v>
      </c>
    </row>
    <row r="4" spans="1:16" x14ac:dyDescent="0.25">
      <c r="A4">
        <v>0.1</v>
      </c>
      <c r="B4">
        <f t="shared" ref="B4:B13" si="1">$P$2+((1-EXP(-POWER($A4, B$2/10)))*10)</f>
        <v>25.481153065695885</v>
      </c>
      <c r="C4">
        <f t="shared" ref="C4:F13" si="2">$P$2+((1-EXP(-POWER($A4, C$2/10)))*10)</f>
        <v>22.711065858899754</v>
      </c>
      <c r="D4">
        <f t="shared" si="2"/>
        <v>20.951625819640405</v>
      </c>
      <c r="E4">
        <f t="shared" si="2"/>
        <v>20.031572829264672</v>
      </c>
      <c r="F4">
        <f t="shared" si="2"/>
        <v>20.000999950001667</v>
      </c>
      <c r="G4">
        <f t="shared" si="0"/>
        <v>20.000099999500002</v>
      </c>
    </row>
    <row r="5" spans="1:16" x14ac:dyDescent="0.25">
      <c r="A5">
        <v>0.2</v>
      </c>
      <c r="B5">
        <f t="shared" si="1"/>
        <v>25.731573874268726</v>
      </c>
      <c r="C5">
        <f t="shared" si="2"/>
        <v>23.605926808381028</v>
      </c>
      <c r="D5">
        <f t="shared" si="2"/>
        <v>21.812692469220181</v>
      </c>
      <c r="E5">
        <f t="shared" si="2"/>
        <v>20.177294936242216</v>
      </c>
      <c r="F5">
        <f t="shared" si="2"/>
        <v>20.015987206823937</v>
      </c>
      <c r="G5">
        <f t="shared" si="0"/>
        <v>20.003199488054609</v>
      </c>
    </row>
    <row r="6" spans="1:16" x14ac:dyDescent="0.25">
      <c r="A6">
        <v>0.3</v>
      </c>
      <c r="B6">
        <f t="shared" si="1"/>
        <v>25.879325174982725</v>
      </c>
      <c r="C6">
        <f t="shared" si="2"/>
        <v>24.217347222218731</v>
      </c>
      <c r="D6">
        <f t="shared" si="2"/>
        <v>22.59181779318282</v>
      </c>
      <c r="E6">
        <f t="shared" si="2"/>
        <v>20.480997510310818</v>
      </c>
      <c r="F6">
        <f t="shared" si="2"/>
        <v>20.080672833944288</v>
      </c>
      <c r="G6">
        <f t="shared" si="0"/>
        <v>20.024270499400323</v>
      </c>
    </row>
    <row r="7" spans="1:16" x14ac:dyDescent="0.25">
      <c r="A7">
        <v>0.4</v>
      </c>
      <c r="B7">
        <f t="shared" si="1"/>
        <v>25.984581578903793</v>
      </c>
      <c r="C7">
        <f t="shared" si="2"/>
        <v>24.687143908670322</v>
      </c>
      <c r="D7">
        <f t="shared" si="2"/>
        <v>23.296799539643608</v>
      </c>
      <c r="E7">
        <f t="shared" si="2"/>
        <v>20.96241305536342</v>
      </c>
      <c r="F7">
        <f t="shared" si="2"/>
        <v>20.252750983982061</v>
      </c>
      <c r="G7">
        <f t="shared" si="0"/>
        <v>20.101877496997773</v>
      </c>
    </row>
    <row r="8" spans="1:16" x14ac:dyDescent="0.25">
      <c r="A8">
        <v>0.5</v>
      </c>
      <c r="B8">
        <f t="shared" si="1"/>
        <v>26.066411547688752</v>
      </c>
      <c r="C8">
        <f t="shared" si="2"/>
        <v>25.0693130860476</v>
      </c>
      <c r="D8">
        <f t="shared" si="2"/>
        <v>23.934693402873666</v>
      </c>
      <c r="E8">
        <f t="shared" si="2"/>
        <v>21.620331144212443</v>
      </c>
      <c r="F8">
        <f t="shared" si="2"/>
        <v>20.605869371865243</v>
      </c>
      <c r="G8">
        <f t="shared" si="0"/>
        <v>20.307667655236557</v>
      </c>
    </row>
    <row r="9" spans="1:16" x14ac:dyDescent="0.25">
      <c r="A9">
        <v>0.6</v>
      </c>
      <c r="B9">
        <f t="shared" si="1"/>
        <v>26.133364007307581</v>
      </c>
      <c r="C9">
        <f t="shared" si="2"/>
        <v>25.391103655178988</v>
      </c>
      <c r="D9">
        <f t="shared" si="2"/>
        <v>24.511883639059736</v>
      </c>
      <c r="E9">
        <f t="shared" si="2"/>
        <v>22.433502399169036</v>
      </c>
      <c r="F9">
        <f t="shared" si="2"/>
        <v>21.215532606500688</v>
      </c>
      <c r="G9">
        <f t="shared" si="0"/>
        <v>20.748135553529835</v>
      </c>
    </row>
    <row r="10" spans="1:16" x14ac:dyDescent="0.25">
      <c r="A10">
        <v>0.7</v>
      </c>
      <c r="B10">
        <f t="shared" si="1"/>
        <v>26.190019778665956</v>
      </c>
      <c r="C10">
        <f t="shared" si="2"/>
        <v>25.668451642379317</v>
      </c>
      <c r="D10">
        <f t="shared" si="2"/>
        <v>25.034146962085906</v>
      </c>
      <c r="E10">
        <f t="shared" si="2"/>
        <v>23.363254684489156</v>
      </c>
      <c r="F10">
        <f t="shared" si="2"/>
        <v>22.13450797786545</v>
      </c>
      <c r="G10">
        <f t="shared" si="0"/>
        <v>21.547053380127007</v>
      </c>
    </row>
    <row r="11" spans="1:16" x14ac:dyDescent="0.25">
      <c r="A11">
        <v>0.8</v>
      </c>
      <c r="B11">
        <f t="shared" si="1"/>
        <v>26.239122437501479</v>
      </c>
      <c r="C11">
        <f t="shared" si="2"/>
        <v>25.911582802021957</v>
      </c>
      <c r="D11">
        <f t="shared" si="2"/>
        <v>25.506710358827785</v>
      </c>
      <c r="E11">
        <f t="shared" si="2"/>
        <v>24.358490391627452</v>
      </c>
      <c r="F11">
        <f t="shared" si="2"/>
        <v>23.360842366645265</v>
      </c>
      <c r="G11">
        <f t="shared" si="0"/>
        <v>22.794064272418719</v>
      </c>
    </row>
    <row r="12" spans="1:16" x14ac:dyDescent="0.25">
      <c r="A12">
        <v>0.9</v>
      </c>
      <c r="B12">
        <f t="shared" si="1"/>
        <v>26.282446335880607</v>
      </c>
      <c r="C12">
        <f t="shared" si="2"/>
        <v>26.12749418491547</v>
      </c>
      <c r="D12">
        <f t="shared" si="2"/>
        <v>25.934303402594008</v>
      </c>
      <c r="E12">
        <f t="shared" si="2"/>
        <v>25.362610400682343</v>
      </c>
      <c r="F12">
        <f t="shared" si="2"/>
        <v>24.811290095345477</v>
      </c>
      <c r="G12">
        <f t="shared" si="0"/>
        <v>24.459442690988904</v>
      </c>
    </row>
    <row r="13" spans="1:16" x14ac:dyDescent="0.25">
      <c r="A13">
        <v>1</v>
      </c>
      <c r="B13">
        <f t="shared" si="1"/>
        <v>26.321205588285576</v>
      </c>
      <c r="C13">
        <f t="shared" si="2"/>
        <v>26.321205588285576</v>
      </c>
      <c r="D13">
        <f t="shared" si="2"/>
        <v>26.321205588285576</v>
      </c>
      <c r="E13">
        <f t="shared" si="2"/>
        <v>26.321205588285576</v>
      </c>
      <c r="F13">
        <f t="shared" si="2"/>
        <v>26.321205588285576</v>
      </c>
      <c r="G13">
        <f t="shared" si="0"/>
        <v>26.321205588285576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F58"/>
  <sheetViews>
    <sheetView zoomScaleNormal="100" workbookViewId="0">
      <selection activeCell="B18" sqref="B18"/>
    </sheetView>
  </sheetViews>
  <sheetFormatPr baseColWidth="10" defaultRowHeight="15" x14ac:dyDescent="0.25"/>
  <sheetData>
    <row r="2" spans="1:6" x14ac:dyDescent="0.25">
      <c r="B2" t="s">
        <v>6</v>
      </c>
      <c r="C2" t="s">
        <v>7</v>
      </c>
      <c r="D2" t="s">
        <v>8</v>
      </c>
      <c r="E2" t="s">
        <v>9</v>
      </c>
      <c r="F2" t="s">
        <v>10</v>
      </c>
    </row>
    <row r="3" spans="1:6" x14ac:dyDescent="0.25">
      <c r="A3" s="1" t="s">
        <v>0</v>
      </c>
      <c r="B3">
        <v>40</v>
      </c>
      <c r="C3">
        <v>35</v>
      </c>
      <c r="D3">
        <v>35</v>
      </c>
      <c r="E3">
        <v>35</v>
      </c>
      <c r="F3">
        <v>30</v>
      </c>
    </row>
    <row r="4" spans="1:6" x14ac:dyDescent="0.25">
      <c r="A4" s="1" t="s">
        <v>1</v>
      </c>
      <c r="B4">
        <v>25</v>
      </c>
      <c r="C4">
        <v>27</v>
      </c>
      <c r="D4">
        <v>22.5</v>
      </c>
      <c r="E4">
        <v>30</v>
      </c>
      <c r="F4">
        <v>25</v>
      </c>
    </row>
    <row r="5" spans="1:6" x14ac:dyDescent="0.25">
      <c r="A5" s="1" t="s">
        <v>2</v>
      </c>
      <c r="B5">
        <v>1.88</v>
      </c>
      <c r="C5">
        <v>1.73</v>
      </c>
      <c r="D5">
        <v>1.88</v>
      </c>
      <c r="E5">
        <v>1.67</v>
      </c>
      <c r="F5">
        <v>1.62</v>
      </c>
    </row>
    <row r="6" spans="1:6" x14ac:dyDescent="0.25">
      <c r="A6" s="1" t="s">
        <v>3</v>
      </c>
      <c r="B6">
        <v>2.4E-2</v>
      </c>
      <c r="C6">
        <v>8.9999999999999993E-3</v>
      </c>
      <c r="D6">
        <v>8.0000000000000002E-3</v>
      </c>
      <c r="E6">
        <v>6.0000000000000001E-3</v>
      </c>
      <c r="F6">
        <v>3.0000000000000001E-3</v>
      </c>
    </row>
    <row r="7" spans="1:6" x14ac:dyDescent="0.25">
      <c r="A7" s="1" t="s">
        <v>4</v>
      </c>
      <c r="B7">
        <v>0.375</v>
      </c>
      <c r="C7">
        <v>0.09</v>
      </c>
      <c r="D7">
        <v>7.2999999999999995E-2</v>
      </c>
      <c r="E7">
        <v>7.1999999999999995E-2</v>
      </c>
      <c r="F7">
        <v>0.129</v>
      </c>
    </row>
    <row r="8" spans="1:6" x14ac:dyDescent="0.25">
      <c r="A8" s="2"/>
    </row>
    <row r="9" spans="1:6" x14ac:dyDescent="0.25">
      <c r="A9" s="2"/>
    </row>
    <row r="10" spans="1:6" x14ac:dyDescent="0.25">
      <c r="A10" s="2"/>
    </row>
    <row r="11" spans="1:6" x14ac:dyDescent="0.25">
      <c r="A11" s="2"/>
    </row>
    <row r="12" spans="1:6" x14ac:dyDescent="0.25">
      <c r="A12" s="2"/>
    </row>
    <row r="13" spans="1:6" x14ac:dyDescent="0.25">
      <c r="A13" s="2"/>
    </row>
    <row r="17" spans="1:6" x14ac:dyDescent="0.25">
      <c r="A17" t="s">
        <v>5</v>
      </c>
      <c r="B17" t="s">
        <v>6</v>
      </c>
      <c r="C17" t="s">
        <v>7</v>
      </c>
      <c r="D17" t="s">
        <v>8</v>
      </c>
      <c r="E17" t="s">
        <v>9</v>
      </c>
      <c r="F17" t="s">
        <v>10</v>
      </c>
    </row>
    <row r="18" spans="1:6" x14ac:dyDescent="0.25">
      <c r="A18">
        <v>0</v>
      </c>
      <c r="B18">
        <f>Oneal($A18,B$3,B$4,B$5,B$6,B$7)</f>
        <v>2.7526458907397751E-3</v>
      </c>
      <c r="C18">
        <f t="shared" ref="C18:F18" si="0">Oneal($A18,C$3,C$4,C$5,C$6,C$7)</f>
        <v>5.34206318417281E-4</v>
      </c>
      <c r="D18">
        <f t="shared" si="0"/>
        <v>0</v>
      </c>
      <c r="E18">
        <f t="shared" si="0"/>
        <v>1.0482537984494418E-3</v>
      </c>
      <c r="F18">
        <f t="shared" si="0"/>
        <v>2.0553857903845601E-2</v>
      </c>
    </row>
    <row r="19" spans="1:6" x14ac:dyDescent="0.25">
      <c r="A19">
        <v>1</v>
      </c>
      <c r="B19">
        <f>Oneal($A19,B$3,B$4,B$5,B$6,B$7)</f>
        <v>7.486397851096907E-3</v>
      </c>
      <c r="C19">
        <f t="shared" ref="B19:F58" si="1">Oneal($A19,C$3,C$4,C$5,C$6,C$7)</f>
        <v>1.7316915651621346E-3</v>
      </c>
      <c r="D19">
        <f t="shared" si="1"/>
        <v>1.3073675235174449E-3</v>
      </c>
      <c r="E19">
        <f t="shared" si="1"/>
        <v>1.8004709888195594E-3</v>
      </c>
      <c r="F19">
        <f t="shared" si="1"/>
        <v>2.2752200143345801E-2</v>
      </c>
    </row>
    <row r="20" spans="1:6" x14ac:dyDescent="0.25">
      <c r="A20">
        <v>2</v>
      </c>
      <c r="B20">
        <f t="shared" si="1"/>
        <v>1.2961858147886328E-2</v>
      </c>
      <c r="C20">
        <f t="shared" si="1"/>
        <v>3.0667040941079853E-3</v>
      </c>
      <c r="D20">
        <f t="shared" si="1"/>
        <v>2.8225670096978933E-3</v>
      </c>
      <c r="E20">
        <f t="shared" si="1"/>
        <v>2.6285387237804103E-3</v>
      </c>
      <c r="F20">
        <f t="shared" si="1"/>
        <v>2.5137729059244673E-2</v>
      </c>
    </row>
    <row r="21" spans="1:6" x14ac:dyDescent="0.25">
      <c r="A21">
        <v>3</v>
      </c>
      <c r="B21">
        <f t="shared" si="1"/>
        <v>1.9271221987521701E-2</v>
      </c>
      <c r="C21">
        <f t="shared" si="1"/>
        <v>4.552439554893619E-3</v>
      </c>
      <c r="D21">
        <f t="shared" si="1"/>
        <v>4.5497096641078667E-3</v>
      </c>
      <c r="E21">
        <f t="shared" si="1"/>
        <v>3.5393129289902087E-3</v>
      </c>
      <c r="F21">
        <f t="shared" si="1"/>
        <v>2.7723166168817485E-2</v>
      </c>
    </row>
    <row r="22" spans="1:6" x14ac:dyDescent="0.25">
      <c r="A22">
        <v>4</v>
      </c>
      <c r="B22">
        <f t="shared" si="1"/>
        <v>2.6511946251121674E-2</v>
      </c>
      <c r="C22">
        <f t="shared" si="1"/>
        <v>6.202793838126601E-3</v>
      </c>
      <c r="D22">
        <f t="shared" si="1"/>
        <v>6.5097803456420598E-3</v>
      </c>
      <c r="E22">
        <f t="shared" si="1"/>
        <v>4.540114546688144E-3</v>
      </c>
      <c r="F22">
        <f t="shared" si="1"/>
        <v>3.0521437669786895E-2</v>
      </c>
    </row>
    <row r="23" spans="1:6" x14ac:dyDescent="0.25">
      <c r="A23">
        <v>5</v>
      </c>
      <c r="B23">
        <f t="shared" si="1"/>
        <v>3.4785222125807272E-2</v>
      </c>
      <c r="C23">
        <f t="shared" si="1"/>
        <v>8.032254890024371E-3</v>
      </c>
      <c r="D23">
        <f t="shared" si="1"/>
        <v>8.7235338007660597E-3</v>
      </c>
      <c r="E23">
        <f t="shared" si="1"/>
        <v>5.6387262733697506E-3</v>
      </c>
      <c r="F23">
        <f t="shared" si="1"/>
        <v>3.3545500633918528E-2</v>
      </c>
    </row>
    <row r="24" spans="1:6" x14ac:dyDescent="0.25">
      <c r="A24">
        <v>6</v>
      </c>
      <c r="B24">
        <f t="shared" si="1"/>
        <v>4.4193778539332075E-2</v>
      </c>
      <c r="C24">
        <f t="shared" si="1"/>
        <v>1.0055744358750352E-2</v>
      </c>
      <c r="D24">
        <f t="shared" si="1"/>
        <v>1.1210695852053216E-2</v>
      </c>
      <c r="E24">
        <f t="shared" si="1"/>
        <v>6.8433785849858E-3</v>
      </c>
      <c r="F24">
        <f t="shared" si="1"/>
        <v>3.6808113895647365E-2</v>
      </c>
    </row>
    <row r="25" spans="1:6" x14ac:dyDescent="0.25">
      <c r="A25">
        <v>7</v>
      </c>
      <c r="B25">
        <f t="shared" si="1"/>
        <v>5.4838876601193569E-2</v>
      </c>
      <c r="C25">
        <f t="shared" si="1"/>
        <v>1.2288396570633181E-2</v>
      </c>
      <c r="D25">
        <f t="shared" si="1"/>
        <v>1.3988926758441211E-2</v>
      </c>
      <c r="E25">
        <f t="shared" si="1"/>
        <v>8.1627218021364072E-3</v>
      </c>
      <c r="F25">
        <f t="shared" si="1"/>
        <v>4.032153976528742E-2</v>
      </c>
    </row>
    <row r="26" spans="1:6" x14ac:dyDescent="0.25">
      <c r="A26">
        <v>8</v>
      </c>
      <c r="B26">
        <f t="shared" si="1"/>
        <v>6.6816346470390586E-2</v>
      </c>
      <c r="C26">
        <f t="shared" si="1"/>
        <v>1.4745259859612768E-2</v>
      </c>
      <c r="D26">
        <f t="shared" si="1"/>
        <v>1.7072509221179394E-2</v>
      </c>
      <c r="E26">
        <f t="shared" si="1"/>
        <v>9.6057801384896151E-3</v>
      </c>
      <c r="F26">
        <f t="shared" si="1"/>
        <v>4.4097159149930454E-2</v>
      </c>
    </row>
    <row r="27" spans="1:6" x14ac:dyDescent="0.25">
      <c r="A27">
        <v>9</v>
      </c>
      <c r="B27">
        <f t="shared" si="1"/>
        <v>8.0211515920414755E-2</v>
      </c>
      <c r="C27">
        <f t="shared" si="1"/>
        <v>1.7440902401692597E-2</v>
      </c>
      <c r="D27">
        <f t="shared" si="1"/>
        <v>2.0470725221359558E-2</v>
      </c>
      <c r="E27">
        <f t="shared" si="1"/>
        <v>1.1181882665092123E-2</v>
      </c>
      <c r="F27">
        <f t="shared" si="1"/>
        <v>4.814497808795206E-2</v>
      </c>
    </row>
    <row r="28" spans="1:6" x14ac:dyDescent="0.25">
      <c r="A28">
        <v>10</v>
      </c>
      <c r="B28">
        <f t="shared" si="1"/>
        <v>9.5092887866515319E-2</v>
      </c>
      <c r="C28">
        <f t="shared" si="1"/>
        <v>2.0388901399026979E-2</v>
      </c>
      <c r="D28">
        <f t="shared" si="1"/>
        <v>2.4185891338726208E-2</v>
      </c>
      <c r="E28">
        <f t="shared" si="1"/>
        <v>1.2900564856505961E-2</v>
      </c>
      <c r="F28">
        <f t="shared" si="1"/>
        <v>5.2472997735145695E-2</v>
      </c>
    </row>
    <row r="29" spans="1:6" x14ac:dyDescent="0.25">
      <c r="A29">
        <v>11</v>
      </c>
      <c r="B29">
        <f t="shared" si="1"/>
        <v>0.11150444673305923</v>
      </c>
      <c r="C29">
        <f t="shared" si="1"/>
        <v>2.3601190683267555E-2</v>
      </c>
      <c r="D29">
        <f t="shared" si="1"/>
        <v>2.8211033021495968E-2</v>
      </c>
      <c r="E29">
        <f t="shared" si="1"/>
        <v>1.4771432789604853E-2</v>
      </c>
      <c r="F29">
        <f t="shared" si="1"/>
        <v>5.7086411968803014E-2</v>
      </c>
    </row>
    <row r="30" spans="1:6" x14ac:dyDescent="0.25">
      <c r="A30">
        <v>12</v>
      </c>
      <c r="B30">
        <f t="shared" si="1"/>
        <v>0.12945651630199043</v>
      </c>
      <c r="C30">
        <f t="shared" si="1"/>
        <v>2.7087237545948051E-2</v>
      </c>
      <c r="D30">
        <f t="shared" si="1"/>
        <v>3.2527196481213244E-2</v>
      </c>
      <c r="E30">
        <f t="shared" si="1"/>
        <v>1.6803980046334148E-2</v>
      </c>
      <c r="F30">
        <f t="shared" si="1"/>
        <v>6.1986586255892623E-2</v>
      </c>
    </row>
    <row r="31" spans="1:6" x14ac:dyDescent="0.25">
      <c r="A31">
        <v>13</v>
      </c>
      <c r="B31">
        <f t="shared" si="1"/>
        <v>0.14891516121341505</v>
      </c>
      <c r="C31">
        <f t="shared" si="1"/>
        <v>3.085301485956659E-2</v>
      </c>
      <c r="D31">
        <f t="shared" si="1"/>
        <v>3.7100424968565589E-2</v>
      </c>
      <c r="E31">
        <f t="shared" si="1"/>
        <v>1.9007344798402437E-2</v>
      </c>
      <c r="F31">
        <f t="shared" si="1"/>
        <v>6.7169757160525881E-2</v>
      </c>
    </row>
    <row r="32" spans="1:6" x14ac:dyDescent="0.25">
      <c r="A32">
        <v>14</v>
      </c>
      <c r="B32">
        <f t="shared" si="1"/>
        <v>0.16979022819386472</v>
      </c>
      <c r="C32">
        <f t="shared" si="1"/>
        <v>3.4899729370454081E-2</v>
      </c>
      <c r="D32">
        <f t="shared" si="1"/>
        <v>4.187846711172543E-2</v>
      </c>
      <c r="E32">
        <f t="shared" si="1"/>
        <v>2.1389991248135225E-2</v>
      </c>
      <c r="F32">
        <f t="shared" si="1"/>
        <v>7.2625372176604211E-2</v>
      </c>
    </row>
    <row r="33" spans="1:6" x14ac:dyDescent="0.25">
      <c r="A33">
        <v>15</v>
      </c>
      <c r="B33">
        <f t="shared" si="1"/>
        <v>0.19192226967915393</v>
      </c>
      <c r="C33">
        <f t="shared" si="1"/>
        <v>3.9222261530531127E-2</v>
      </c>
      <c r="D33">
        <f t="shared" si="1"/>
        <v>4.6787342150287063E-2</v>
      </c>
      <c r="E33">
        <f t="shared" si="1"/>
        <v>2.395929532095499E-2</v>
      </c>
      <c r="F33">
        <f t="shared" si="1"/>
        <v>7.8333961880382358E-2</v>
      </c>
    </row>
    <row r="34" spans="1:6" x14ac:dyDescent="0.25">
      <c r="A34">
        <v>16</v>
      </c>
      <c r="B34">
        <f t="shared" si="1"/>
        <v>0.21506879021195113</v>
      </c>
      <c r="C34">
        <f t="shared" si="1"/>
        <v>4.3807266596553915E-2</v>
      </c>
      <c r="D34">
        <f t="shared" si="1"/>
        <v>5.1727963905252847E-2</v>
      </c>
      <c r="E34">
        <f t="shared" si="1"/>
        <v>2.6721008906721029E-2</v>
      </c>
      <c r="F34">
        <f t="shared" si="1"/>
        <v>8.4264396594889227E-2</v>
      </c>
    </row>
    <row r="35" spans="1:6" x14ac:dyDescent="0.25">
      <c r="A35">
        <v>17</v>
      </c>
      <c r="B35">
        <f t="shared" si="1"/>
        <v>0.23889051237350337</v>
      </c>
      <c r="C35">
        <f t="shared" si="1"/>
        <v>4.8630881325620892E-2</v>
      </c>
      <c r="D35">
        <f t="shared" si="1"/>
        <v>5.6573125716088392E-2</v>
      </c>
      <c r="E35">
        <f t="shared" si="1"/>
        <v>2.96785695357316E-2</v>
      </c>
      <c r="F35">
        <f t="shared" si="1"/>
        <v>9.0370321111321095E-2</v>
      </c>
    </row>
    <row r="36" spans="1:6" x14ac:dyDescent="0.25">
      <c r="A36">
        <v>18</v>
      </c>
      <c r="B36">
        <f t="shared" si="1"/>
        <v>0.26293867908798135</v>
      </c>
      <c r="C36">
        <f t="shared" si="1"/>
        <v>5.3655976041837465E-2</v>
      </c>
      <c r="D36">
        <f t="shared" si="1"/>
        <v>6.1165275134463772E-2</v>
      </c>
      <c r="E36">
        <f t="shared" si="1"/>
        <v>3.2832212428671688E-2</v>
      </c>
      <c r="F36">
        <f t="shared" si="1"/>
        <v>9.6585472124699423E-2</v>
      </c>
    </row>
    <row r="37" spans="1:6" x14ac:dyDescent="0.25">
      <c r="A37">
        <v>19</v>
      </c>
      <c r="B37">
        <f t="shared" si="1"/>
        <v>0.28664479299616352</v>
      </c>
      <c r="C37">
        <f t="shared" si="1"/>
        <v>5.8828889130962493E-2</v>
      </c>
      <c r="D37">
        <f t="shared" si="1"/>
        <v>6.5315660847246076E-2</v>
      </c>
      <c r="E37">
        <f t="shared" si="1"/>
        <v>3.6177828299472407E-2</v>
      </c>
      <c r="F37">
        <f t="shared" si="1"/>
        <v>0.10281744389072341</v>
      </c>
    </row>
    <row r="38" spans="1:6" x14ac:dyDescent="0.25">
      <c r="A38">
        <v>20</v>
      </c>
      <c r="B38">
        <f t="shared" si="1"/>
        <v>0.30931463283783794</v>
      </c>
      <c r="C38">
        <f t="shared" si="1"/>
        <v>6.4075581732304779E-2</v>
      </c>
      <c r="D38">
        <f t="shared" si="1"/>
        <v>6.8805612474611089E-2</v>
      </c>
      <c r="E38">
        <f t="shared" si="1"/>
        <v>3.9705491464749616E-2</v>
      </c>
      <c r="F38">
        <f t="shared" si="1"/>
        <v>0.1089392415098317</v>
      </c>
    </row>
    <row r="39" spans="1:6" x14ac:dyDescent="0.25">
      <c r="A39">
        <v>21</v>
      </c>
      <c r="B39">
        <f t="shared" si="1"/>
        <v>0.33012885966999506</v>
      </c>
      <c r="C39">
        <f t="shared" si="1"/>
        <v>6.9297157104303675E-2</v>
      </c>
      <c r="D39">
        <f t="shared" si="1"/>
        <v>7.139090755967345E-2</v>
      </c>
      <c r="E39">
        <f t="shared" si="1"/>
        <v>4.3397556127461351E-2</v>
      </c>
      <c r="F39">
        <f t="shared" si="1"/>
        <v>0.1147775776201376</v>
      </c>
    </row>
    <row r="40" spans="1:6" x14ac:dyDescent="0.25">
      <c r="A40">
        <v>22</v>
      </c>
      <c r="B40">
        <f t="shared" si="1"/>
        <v>0.34815299072512551</v>
      </c>
      <c r="C40">
        <f t="shared" si="1"/>
        <v>7.4364705989417718E-2</v>
      </c>
      <c r="D40">
        <f t="shared" si="1"/>
        <v>7.2810369630888994E-2</v>
      </c>
      <c r="E40">
        <f t="shared" si="1"/>
        <v>4.7226179952206598E-2</v>
      </c>
      <c r="F40">
        <f t="shared" si="1"/>
        <v>0.12009618346712786</v>
      </c>
    </row>
    <row r="41" spans="1:6" x14ac:dyDescent="0.25">
      <c r="A41">
        <v>23</v>
      </c>
      <c r="B41">
        <f t="shared" si="1"/>
        <v>0.36235990618735969</v>
      </c>
      <c r="C41">
        <f t="shared" si="1"/>
        <v>7.9113473090188208E-2</v>
      </c>
      <c r="D41">
        <f t="shared" si="1"/>
        <v>7.2819744125899061E-2</v>
      </c>
      <c r="E41">
        <f t="shared" si="1"/>
        <v>5.1150076198809964E-2</v>
      </c>
      <c r="F41">
        <f t="shared" si="1"/>
        <v>0.12457110653219228</v>
      </c>
    </row>
    <row r="42" spans="1:6" x14ac:dyDescent="0.25">
      <c r="A42">
        <v>24</v>
      </c>
      <c r="B42">
        <f t="shared" si="1"/>
        <v>0.37166825663107511</v>
      </c>
      <c r="C42">
        <f t="shared" si="1"/>
        <v>8.3336401848659702E-2</v>
      </c>
      <c r="D42">
        <f t="shared" si="1"/>
        <v>7.1300191734724488E-2</v>
      </c>
      <c r="E42">
        <f t="shared" si="1"/>
        <v>5.511020650291136E-2</v>
      </c>
      <c r="F42">
        <f t="shared" si="1"/>
        <v>0.12775231551342431</v>
      </c>
    </row>
    <row r="43" spans="1:6" x14ac:dyDescent="0.25">
      <c r="A43">
        <v>25</v>
      </c>
      <c r="B43">
        <f t="shared" si="1"/>
        <v>0.375</v>
      </c>
      <c r="C43">
        <f t="shared" si="1"/>
        <v>8.6777224603607761E-2</v>
      </c>
      <c r="D43">
        <f t="shared" si="1"/>
        <v>6.8091378339914757E-2</v>
      </c>
      <c r="E43">
        <f t="shared" si="1"/>
        <v>5.9023983721373761E-2</v>
      </c>
      <c r="F43">
        <f t="shared" si="1"/>
        <v>0.129</v>
      </c>
    </row>
    <row r="44" spans="1:6" x14ac:dyDescent="0.25">
      <c r="A44">
        <v>26</v>
      </c>
      <c r="B44">
        <f t="shared" si="1"/>
        <v>0.37157857258836674</v>
      </c>
      <c r="C44">
        <f t="shared" si="1"/>
        <v>8.9123457608438122E-2</v>
      </c>
      <c r="D44">
        <f t="shared" si="1"/>
        <v>6.3090727000746763E-2</v>
      </c>
      <c r="E44">
        <f t="shared" si="1"/>
        <v>6.2777315905125142E-2</v>
      </c>
      <c r="F44">
        <f t="shared" si="1"/>
        <v>0.12740606659353565</v>
      </c>
    </row>
    <row r="45" spans="1:6" x14ac:dyDescent="0.25">
      <c r="A45">
        <v>27</v>
      </c>
      <c r="B45">
        <f t="shared" si="1"/>
        <v>0.36084200508612696</v>
      </c>
      <c r="C45">
        <f t="shared" si="1"/>
        <v>0.09</v>
      </c>
      <c r="D45">
        <f t="shared" si="1"/>
        <v>5.6313472133661557E-2</v>
      </c>
      <c r="E45">
        <f t="shared" si="1"/>
        <v>6.6213403427511988E-2</v>
      </c>
      <c r="F45">
        <f t="shared" si="1"/>
        <v>0.1215438749194505</v>
      </c>
    </row>
    <row r="46" spans="1:6" x14ac:dyDescent="0.25">
      <c r="A46">
        <v>28</v>
      </c>
      <c r="B46">
        <f t="shared" si="1"/>
        <v>0.34231661829813093</v>
      </c>
      <c r="C46">
        <f t="shared" si="1"/>
        <v>8.9058772837384725E-2</v>
      </c>
      <c r="D46">
        <f t="shared" si="1"/>
        <v>4.7938909226998068E-2</v>
      </c>
      <c r="E46">
        <f t="shared" si="1"/>
        <v>6.9116418473627164E-2</v>
      </c>
      <c r="F46">
        <f t="shared" si="1"/>
        <v>0.10884191832966764</v>
      </c>
    </row>
    <row r="47" spans="1:6" x14ac:dyDescent="0.25">
      <c r="A47">
        <v>29</v>
      </c>
      <c r="B47">
        <f t="shared" si="1"/>
        <v>0.31594688658148934</v>
      </c>
      <c r="C47">
        <f t="shared" si="1"/>
        <v>8.5916374211944521E-2</v>
      </c>
      <c r="D47">
        <f t="shared" si="1"/>
        <v>3.8355753449773253E-2</v>
      </c>
      <c r="E47">
        <f t="shared" si="1"/>
        <v>7.1186621706885042E-2</v>
      </c>
      <c r="F47">
        <f t="shared" si="1"/>
        <v>8.3510375531054268E-2</v>
      </c>
    </row>
    <row r="48" spans="1:6" x14ac:dyDescent="0.25">
      <c r="A48">
        <v>30</v>
      </c>
      <c r="B48">
        <f t="shared" si="1"/>
        <v>0.28222744975268738</v>
      </c>
      <c r="C48">
        <f t="shared" si="1"/>
        <v>8.0056901502084776E-2</v>
      </c>
      <c r="D48">
        <f t="shared" si="1"/>
        <v>2.8195209422895832E-2</v>
      </c>
      <c r="E48">
        <f t="shared" si="1"/>
        <v>7.1999999999999995E-2</v>
      </c>
      <c r="F48">
        <f t="shared" si="1"/>
        <v>0</v>
      </c>
    </row>
    <row r="49" spans="1:6" x14ac:dyDescent="0.25">
      <c r="A49">
        <v>31</v>
      </c>
      <c r="B49">
        <f t="shared" si="1"/>
        <v>0.24231833201692299</v>
      </c>
      <c r="C49">
        <f t="shared" si="1"/>
        <v>7.0937296320967347E-2</v>
      </c>
      <c r="D49">
        <f t="shared" si="1"/>
        <v>1.8331471766867224E-2</v>
      </c>
      <c r="E49">
        <f t="shared" si="1"/>
        <v>7.1018672013375028E-2</v>
      </c>
      <c r="F49">
        <f t="shared" si="1"/>
        <v>0</v>
      </c>
    </row>
    <row r="50" spans="1:6" x14ac:dyDescent="0.25">
      <c r="A50">
        <v>32</v>
      </c>
      <c r="B50">
        <f t="shared" si="1"/>
        <v>0.19811431305448157</v>
      </c>
      <c r="C50">
        <f t="shared" si="1"/>
        <v>5.805116923296675E-2</v>
      </c>
      <c r="D50">
        <f t="shared" si="1"/>
        <v>9.8156118559307726E-3</v>
      </c>
      <c r="E50">
        <f t="shared" si="1"/>
        <v>6.7420594318615593E-2</v>
      </c>
      <c r="F50">
        <f t="shared" si="1"/>
        <v>0</v>
      </c>
    </row>
    <row r="51" spans="1:6" x14ac:dyDescent="0.25">
      <c r="A51">
        <v>33</v>
      </c>
      <c r="B51">
        <f t="shared" si="1"/>
        <v>0.15222879847244497</v>
      </c>
      <c r="C51">
        <f t="shared" si="1"/>
        <v>4.1087769957922432E-2</v>
      </c>
      <c r="D51">
        <f t="shared" si="1"/>
        <v>3.6879584710001524E-3</v>
      </c>
      <c r="E51">
        <f t="shared" si="1"/>
        <v>5.9687172608352761E-2</v>
      </c>
      <c r="F51">
        <f t="shared" si="1"/>
        <v>0</v>
      </c>
    </row>
    <row r="52" spans="1:6" x14ac:dyDescent="0.25">
      <c r="A52">
        <v>34</v>
      </c>
      <c r="B52">
        <f t="shared" si="1"/>
        <v>0.10784351303199462</v>
      </c>
      <c r="C52">
        <f t="shared" si="1"/>
        <v>2.0401092136706888E-2</v>
      </c>
      <c r="D52">
        <f t="shared" si="1"/>
        <v>5.8327926652120639E-4</v>
      </c>
      <c r="E52">
        <f t="shared" si="1"/>
        <v>4.4553853910352985E-2</v>
      </c>
      <c r="F52">
        <f t="shared" si="1"/>
        <v>0</v>
      </c>
    </row>
    <row r="53" spans="1:6" x14ac:dyDescent="0.25">
      <c r="A53">
        <v>35</v>
      </c>
      <c r="B53">
        <f t="shared" si="1"/>
        <v>6.8373085826469032E-2</v>
      </c>
      <c r="C53">
        <f t="shared" si="1"/>
        <v>0</v>
      </c>
      <c r="D53">
        <f t="shared" si="1"/>
        <v>0</v>
      </c>
      <c r="E53">
        <f t="shared" si="1"/>
        <v>0</v>
      </c>
      <c r="F53">
        <f t="shared" si="1"/>
        <v>0</v>
      </c>
    </row>
    <row r="54" spans="1:6" x14ac:dyDescent="0.25">
      <c r="A54">
        <v>36</v>
      </c>
      <c r="B54">
        <f t="shared" si="1"/>
        <v>3.6908098290099063E-2</v>
      </c>
      <c r="C54">
        <f t="shared" si="1"/>
        <v>0</v>
      </c>
      <c r="D54">
        <f t="shared" si="1"/>
        <v>0</v>
      </c>
      <c r="E54">
        <f t="shared" si="1"/>
        <v>0</v>
      </c>
      <c r="F54">
        <f t="shared" si="1"/>
        <v>0</v>
      </c>
    </row>
    <row r="55" spans="1:6" x14ac:dyDescent="0.25">
      <c r="A55">
        <v>37</v>
      </c>
      <c r="B55">
        <f t="shared" si="1"/>
        <v>1.5449688529325378E-2</v>
      </c>
      <c r="C55">
        <f t="shared" si="1"/>
        <v>0</v>
      </c>
      <c r="D55">
        <f t="shared" si="1"/>
        <v>0</v>
      </c>
      <c r="E55">
        <f t="shared" si="1"/>
        <v>0</v>
      </c>
      <c r="F55">
        <f t="shared" si="1"/>
        <v>0</v>
      </c>
    </row>
    <row r="56" spans="1:6" x14ac:dyDescent="0.25">
      <c r="A56">
        <v>38</v>
      </c>
      <c r="B56">
        <f t="shared" si="1"/>
        <v>4.0659988943200047E-3</v>
      </c>
      <c r="C56">
        <f t="shared" si="1"/>
        <v>0</v>
      </c>
      <c r="D56">
        <f t="shared" si="1"/>
        <v>0</v>
      </c>
      <c r="E56">
        <f t="shared" si="1"/>
        <v>0</v>
      </c>
      <c r="F56">
        <f t="shared" si="1"/>
        <v>0</v>
      </c>
    </row>
    <row r="57" spans="1:6" x14ac:dyDescent="0.25">
      <c r="A57">
        <v>39</v>
      </c>
      <c r="B57">
        <f t="shared" si="1"/>
        <v>3.4445518775121862E-4</v>
      </c>
      <c r="C57">
        <f t="shared" si="1"/>
        <v>0</v>
      </c>
      <c r="D57">
        <f t="shared" si="1"/>
        <v>0</v>
      </c>
      <c r="E57">
        <f t="shared" si="1"/>
        <v>0</v>
      </c>
      <c r="F57">
        <f t="shared" si="1"/>
        <v>0</v>
      </c>
    </row>
    <row r="58" spans="1:6" x14ac:dyDescent="0.25">
      <c r="A58">
        <v>40</v>
      </c>
      <c r="B58">
        <f t="shared" si="1"/>
        <v>0</v>
      </c>
      <c r="C58">
        <f t="shared" si="1"/>
        <v>0</v>
      </c>
      <c r="D58">
        <f t="shared" si="1"/>
        <v>0</v>
      </c>
      <c r="E58">
        <f t="shared" si="1"/>
        <v>0</v>
      </c>
      <c r="F58">
        <f t="shared" si="1"/>
        <v>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F49"/>
  <sheetViews>
    <sheetView tabSelected="1" workbookViewId="0">
      <selection activeCell="K1" sqref="K1:O2"/>
    </sheetView>
  </sheetViews>
  <sheetFormatPr baseColWidth="10" defaultRowHeight="15" x14ac:dyDescent="0.25"/>
  <sheetData>
    <row r="1" spans="1:6" x14ac:dyDescent="0.25">
      <c r="B1" t="s">
        <v>12</v>
      </c>
      <c r="C1" t="s">
        <v>11</v>
      </c>
      <c r="D1" t="s">
        <v>13</v>
      </c>
      <c r="E1" t="s">
        <v>14</v>
      </c>
      <c r="F1" t="s">
        <v>15</v>
      </c>
    </row>
    <row r="2" spans="1:6" x14ac:dyDescent="0.25">
      <c r="A2" s="1" t="s">
        <v>0</v>
      </c>
      <c r="B2">
        <v>30</v>
      </c>
      <c r="C2">
        <v>33.618000000000002</v>
      </c>
      <c r="D2">
        <v>30.7165</v>
      </c>
      <c r="E2">
        <v>31.12</v>
      </c>
      <c r="F2" s="4">
        <v>31.065300000000001</v>
      </c>
    </row>
    <row r="3" spans="1:6" x14ac:dyDescent="0.25">
      <c r="A3" s="1" t="s">
        <v>1</v>
      </c>
      <c r="B3">
        <v>25</v>
      </c>
      <c r="C3">
        <v>23.4</v>
      </c>
      <c r="D3">
        <v>24.2439</v>
      </c>
      <c r="E3">
        <v>24.45</v>
      </c>
      <c r="F3">
        <v>24.9255</v>
      </c>
    </row>
    <row r="4" spans="1:6" x14ac:dyDescent="0.25">
      <c r="A4" s="1" t="s">
        <v>2</v>
      </c>
      <c r="B4">
        <v>1.62</v>
      </c>
      <c r="C4">
        <v>1.88</v>
      </c>
      <c r="D4">
        <v>1.59</v>
      </c>
      <c r="E4">
        <v>1.67</v>
      </c>
      <c r="F4">
        <v>1.6344000000000001</v>
      </c>
    </row>
    <row r="5" spans="1:6" x14ac:dyDescent="0.25">
      <c r="A5" s="1" t="s">
        <v>3</v>
      </c>
      <c r="B5">
        <v>3.5000000000000003E-2</v>
      </c>
      <c r="C5">
        <v>3.8800000000000001E-2</v>
      </c>
      <c r="D5">
        <v>3.5400000000000001E-2</v>
      </c>
      <c r="E5">
        <v>3.5999999999999997E-2</v>
      </c>
      <c r="F5">
        <v>3.5400000000000001E-2</v>
      </c>
    </row>
    <row r="6" spans="1:6" x14ac:dyDescent="0.25">
      <c r="A6" s="1" t="s">
        <v>4</v>
      </c>
      <c r="B6">
        <v>0.129</v>
      </c>
      <c r="C6">
        <v>9.1600000000000001E-2</v>
      </c>
      <c r="D6">
        <v>0.1017</v>
      </c>
      <c r="E6">
        <v>0.13600000000000001</v>
      </c>
      <c r="F6">
        <v>0.13089999999999999</v>
      </c>
    </row>
    <row r="8" spans="1:6" x14ac:dyDescent="0.25">
      <c r="A8" t="s">
        <v>5</v>
      </c>
      <c r="B8" t="s">
        <v>12</v>
      </c>
      <c r="C8" t="s">
        <v>11</v>
      </c>
      <c r="D8" t="s">
        <v>13</v>
      </c>
      <c r="E8" t="s">
        <v>14</v>
      </c>
      <c r="F8" t="s">
        <v>15</v>
      </c>
    </row>
    <row r="9" spans="1:6" x14ac:dyDescent="0.25">
      <c r="A9">
        <v>0</v>
      </c>
      <c r="B9" s="3">
        <f>Oneal($A9,B$2,B$3,B$4,B$5,B$6)</f>
        <v>0</v>
      </c>
      <c r="C9" s="3">
        <f>Oneal($A9,C$2,C$3,C$4,C$5,C$6)</f>
        <v>0</v>
      </c>
      <c r="D9" s="3">
        <f>Oneal($A9,D$2,D$3,D$4,D$5,D$6)</f>
        <v>0</v>
      </c>
      <c r="E9" s="3">
        <f>Oneal($A9,E$2,E$3,E$4,E$5,E$6)</f>
        <v>0</v>
      </c>
      <c r="F9" s="3">
        <f>Oneal($A9,F$2,F$3,F$4,F$5,F$6)</f>
        <v>0</v>
      </c>
    </row>
    <row r="10" spans="1:6" x14ac:dyDescent="0.25">
      <c r="A10">
        <v>1</v>
      </c>
      <c r="B10" s="3">
        <f t="shared" ref="B10:F49" si="0">Oneal($A10,B$2,B$3,B$4,B$5,B$6)</f>
        <v>0</v>
      </c>
      <c r="C10" s="3">
        <f t="shared" si="0"/>
        <v>0</v>
      </c>
      <c r="D10" s="3">
        <f t="shared" si="0"/>
        <v>0</v>
      </c>
      <c r="E10" s="3">
        <f t="shared" si="0"/>
        <v>0</v>
      </c>
      <c r="F10" s="3">
        <f t="shared" si="0"/>
        <v>0</v>
      </c>
    </row>
    <row r="11" spans="1:6" x14ac:dyDescent="0.25">
      <c r="A11">
        <v>2</v>
      </c>
      <c r="B11" s="3">
        <f t="shared" si="0"/>
        <v>0</v>
      </c>
      <c r="C11" s="3">
        <f t="shared" si="0"/>
        <v>0</v>
      </c>
      <c r="D11" s="3">
        <f t="shared" si="0"/>
        <v>0</v>
      </c>
      <c r="E11" s="3">
        <f t="shared" si="0"/>
        <v>0</v>
      </c>
      <c r="F11" s="3">
        <f t="shared" si="0"/>
        <v>0</v>
      </c>
    </row>
    <row r="12" spans="1:6" x14ac:dyDescent="0.25">
      <c r="A12">
        <v>3</v>
      </c>
      <c r="B12" s="3">
        <f t="shared" si="0"/>
        <v>3.1712064521671746E-3</v>
      </c>
      <c r="C12" s="3">
        <f t="shared" si="0"/>
        <v>0</v>
      </c>
      <c r="D12" s="3">
        <f t="shared" si="0"/>
        <v>2.6174462716530775E-3</v>
      </c>
      <c r="E12" s="3">
        <f t="shared" si="0"/>
        <v>1.1945084205911977E-3</v>
      </c>
      <c r="F12" s="3">
        <f t="shared" si="0"/>
        <v>2.5703994381498785E-3</v>
      </c>
    </row>
    <row r="13" spans="1:6" x14ac:dyDescent="0.25">
      <c r="A13">
        <v>4</v>
      </c>
      <c r="B13" s="3">
        <f t="shared" si="0"/>
        <v>6.6478468018564482E-3</v>
      </c>
      <c r="C13" s="3">
        <f t="shared" si="0"/>
        <v>0</v>
      </c>
      <c r="D13" s="3">
        <f t="shared" si="0"/>
        <v>5.8925791934677646E-3</v>
      </c>
      <c r="E13" s="3">
        <f t="shared" si="0"/>
        <v>5.0238633977830183E-3</v>
      </c>
      <c r="F13" s="3">
        <f t="shared" si="0"/>
        <v>6.1939566690990683E-3</v>
      </c>
    </row>
    <row r="14" spans="1:6" x14ac:dyDescent="0.25">
      <c r="A14">
        <v>5</v>
      </c>
      <c r="B14" s="3">
        <f t="shared" si="0"/>
        <v>1.0405015939110897E-2</v>
      </c>
      <c r="C14" s="3">
        <f t="shared" si="0"/>
        <v>0</v>
      </c>
      <c r="D14" s="3">
        <f t="shared" si="0"/>
        <v>9.4057518843526158E-3</v>
      </c>
      <c r="E14" s="3">
        <f t="shared" si="0"/>
        <v>9.1944501579963242E-3</v>
      </c>
      <c r="F14" s="3">
        <f t="shared" si="0"/>
        <v>1.0118520023897043E-2</v>
      </c>
    </row>
    <row r="15" spans="1:6" x14ac:dyDescent="0.25">
      <c r="A15">
        <v>6</v>
      </c>
      <c r="B15" s="3">
        <f t="shared" si="0"/>
        <v>1.445856574913764E-2</v>
      </c>
      <c r="C15" s="3">
        <f t="shared" si="0"/>
        <v>0</v>
      </c>
      <c r="D15" s="3">
        <f t="shared" si="0"/>
        <v>1.3166221291503841E-2</v>
      </c>
      <c r="E15" s="3">
        <f t="shared" si="0"/>
        <v>1.3726135465822929E-2</v>
      </c>
      <c r="F15" s="3">
        <f t="shared" si="0"/>
        <v>1.436057951954442E-2</v>
      </c>
    </row>
    <row r="16" spans="1:6" x14ac:dyDescent="0.25">
      <c r="A16">
        <v>7</v>
      </c>
      <c r="B16" s="3">
        <f t="shared" si="0"/>
        <v>1.8823731223538913E-2</v>
      </c>
      <c r="C16" s="3">
        <f t="shared" si="0"/>
        <v>0</v>
      </c>
      <c r="D16" s="3">
        <f t="shared" si="0"/>
        <v>1.7181810800194805E-2</v>
      </c>
      <c r="E16" s="3">
        <f t="shared" si="0"/>
        <v>1.8637491391293975E-2</v>
      </c>
      <c r="F16" s="3">
        <f t="shared" si="0"/>
        <v>1.8935617798911265E-2</v>
      </c>
    </row>
    <row r="17" spans="1:6" x14ac:dyDescent="0.25">
      <c r="A17">
        <v>8</v>
      </c>
      <c r="B17" s="3">
        <f t="shared" si="0"/>
        <v>2.351465227718632E-2</v>
      </c>
      <c r="C17" s="3">
        <f t="shared" si="0"/>
        <v>0</v>
      </c>
      <c r="D17" s="3">
        <f t="shared" si="0"/>
        <v>2.1458370282902983E-2</v>
      </c>
      <c r="E17" s="3">
        <f t="shared" si="0"/>
        <v>2.394499845243684E-2</v>
      </c>
      <c r="F17" s="3">
        <f t="shared" si="0"/>
        <v>2.3857507311628133E-2</v>
      </c>
    </row>
    <row r="18" spans="1:6" x14ac:dyDescent="0.25">
      <c r="A18">
        <v>9</v>
      </c>
      <c r="B18" s="3">
        <f t="shared" si="0"/>
        <v>2.8543760654728315E-2</v>
      </c>
      <c r="C18" s="3">
        <f t="shared" si="0"/>
        <v>8.3694117777385196E-4</v>
      </c>
      <c r="D18" s="3">
        <f t="shared" si="0"/>
        <v>2.5999109738868868E-2</v>
      </c>
      <c r="E18" s="3">
        <f t="shared" si="0"/>
        <v>2.9662038619475313E-2</v>
      </c>
      <c r="F18" s="3">
        <f t="shared" si="0"/>
        <v>2.9137749606998498E-2</v>
      </c>
    </row>
    <row r="19" spans="1:6" x14ac:dyDescent="0.25">
      <c r="A19">
        <v>10</v>
      </c>
      <c r="B19" s="3">
        <f t="shared" si="0"/>
        <v>3.392099718609011E-2</v>
      </c>
      <c r="C19" s="3">
        <f t="shared" si="0"/>
        <v>6.1923369198098946E-3</v>
      </c>
      <c r="D19" s="3">
        <f t="shared" si="0"/>
        <v>3.0803778657291586E-2</v>
      </c>
      <c r="E19" s="3">
        <f t="shared" si="0"/>
        <v>3.5797631261656464E-2</v>
      </c>
      <c r="F19" s="3">
        <f t="shared" si="0"/>
        <v>3.478452023142857E-2</v>
      </c>
    </row>
    <row r="20" spans="1:6" x14ac:dyDescent="0.25">
      <c r="A20">
        <v>11</v>
      </c>
      <c r="B20" s="3">
        <f t="shared" si="0"/>
        <v>3.965281487033101E-2</v>
      </c>
      <c r="C20" s="3">
        <f t="shared" si="0"/>
        <v>1.2065800591224501E-2</v>
      </c>
      <c r="D20" s="3">
        <f t="shared" si="0"/>
        <v>3.5867656544392071E-2</v>
      </c>
      <c r="E20" s="3">
        <f t="shared" si="0"/>
        <v>4.2354854864742074E-2</v>
      </c>
      <c r="F20" s="3">
        <f t="shared" si="0"/>
        <v>4.0801473947693359E-2</v>
      </c>
    </row>
    <row r="21" spans="1:6" x14ac:dyDescent="0.25">
      <c r="A21">
        <v>12</v>
      </c>
      <c r="B21" s="3">
        <f t="shared" si="0"/>
        <v>4.5740910196715071E-2</v>
      </c>
      <c r="C21" s="3">
        <f t="shared" si="0"/>
        <v>1.8453720540547343E-2</v>
      </c>
      <c r="D21" s="3">
        <f t="shared" si="0"/>
        <v>4.1180311429094396E-2</v>
      </c>
      <c r="E21" s="3">
        <f t="shared" si="0"/>
        <v>4.9328884671357535E-2</v>
      </c>
      <c r="F21" s="3">
        <f t="shared" si="0"/>
        <v>4.71862537814184E-2</v>
      </c>
    </row>
    <row r="22" spans="1:6" x14ac:dyDescent="0.25">
      <c r="A22">
        <v>13</v>
      </c>
      <c r="B22" s="3">
        <f t="shared" si="0"/>
        <v>5.2180607381259417E-2</v>
      </c>
      <c r="C22" s="3">
        <f t="shared" si="0"/>
        <v>2.5334409627939411E-2</v>
      </c>
      <c r="D22" s="3">
        <f t="shared" si="0"/>
        <v>4.6724071897922506E-2</v>
      </c>
      <c r="E22" s="3">
        <f t="shared" si="0"/>
        <v>5.670456061092672E-2</v>
      </c>
      <c r="F22" s="3">
        <f t="shared" si="0"/>
        <v>5.392863291183031E-2</v>
      </c>
    </row>
    <row r="23" spans="1:6" x14ac:dyDescent="0.25">
      <c r="A23">
        <v>14</v>
      </c>
      <c r="B23" s="3">
        <f t="shared" si="0"/>
        <v>5.8958795734568858E-2</v>
      </c>
      <c r="C23" s="3">
        <f t="shared" si="0"/>
        <v>3.2662812791206461E-2</v>
      </c>
      <c r="D23" s="3">
        <f t="shared" si="0"/>
        <v>5.2472143274594582E-2</v>
      </c>
      <c r="E23" s="3">
        <f t="shared" si="0"/>
        <v>6.4453380050994991E-2</v>
      </c>
      <c r="F23" s="3">
        <f t="shared" si="0"/>
        <v>6.1008199452985953E-2</v>
      </c>
    </row>
    <row r="24" spans="1:6" x14ac:dyDescent="0.25">
      <c r="A24">
        <v>15</v>
      </c>
      <c r="B24" s="3">
        <f t="shared" si="0"/>
        <v>6.6051285972596255E-2</v>
      </c>
      <c r="C24" s="3">
        <f t="shared" si="0"/>
        <v>4.0364437435757863E-2</v>
      </c>
      <c r="D24" s="3">
        <f t="shared" si="0"/>
        <v>5.8386278409998521E-2</v>
      </c>
      <c r="E24" s="3">
        <f t="shared" si="0"/>
        <v>7.2529784701518746E-2</v>
      </c>
      <c r="F24" s="3">
        <f t="shared" si="0"/>
        <v>6.8391468946828557E-2</v>
      </c>
    </row>
    <row r="25" spans="1:6" x14ac:dyDescent="0.25">
      <c r="A25">
        <v>16</v>
      </c>
      <c r="B25" s="3">
        <f t="shared" si="0"/>
        <v>7.3419401830013872E-2</v>
      </c>
      <c r="C25" s="3">
        <f t="shared" si="0"/>
        <v>4.8328592457665964E-2</v>
      </c>
      <c r="D25" s="3">
        <f t="shared" si="0"/>
        <v>6.4413885816870006E-2</v>
      </c>
      <c r="E25" s="3">
        <f t="shared" si="0"/>
        <v>8.0866578548108109E-2</v>
      </c>
      <c r="F25" s="3">
        <f t="shared" si="0"/>
        <v>7.6028275244207397E-2</v>
      </c>
    </row>
    <row r="26" spans="1:6" x14ac:dyDescent="0.25">
      <c r="A26">
        <v>17</v>
      </c>
      <c r="B26" s="3">
        <f t="shared" si="0"/>
        <v>8.100555047164136E-2</v>
      </c>
      <c r="C26" s="3">
        <f t="shared" si="0"/>
        <v>5.6401135958859344E-2</v>
      </c>
      <c r="D26" s="3">
        <f t="shared" si="0"/>
        <v>7.0484418840320306E-2</v>
      </c>
      <c r="E26" s="3">
        <f t="shared" si="0"/>
        <v>8.9369271184961546E-2</v>
      </c>
      <c r="F26" s="3">
        <f t="shared" si="0"/>
        <v>8.3847243261508747E-2</v>
      </c>
    </row>
    <row r="27" spans="1:6" x14ac:dyDescent="0.25">
      <c r="A27">
        <v>18</v>
      </c>
      <c r="B27" s="3">
        <f t="shared" si="0"/>
        <v>8.8727404760990197E-2</v>
      </c>
      <c r="C27" s="3">
        <f t="shared" si="0"/>
        <v>6.4377098716095885E-2</v>
      </c>
      <c r="D27" s="3">
        <f t="shared" si="0"/>
        <v>7.6504833139356923E-2</v>
      </c>
      <c r="E27" s="3">
        <f t="shared" si="0"/>
        <v>9.7909084097244831E-2</v>
      </c>
      <c r="F27" s="3">
        <f t="shared" si="0"/>
        <v>9.1750080300151263E-2</v>
      </c>
    </row>
    <row r="28" spans="1:6" x14ac:dyDescent="0.25">
      <c r="A28">
        <v>19</v>
      </c>
      <c r="B28" s="3">
        <f t="shared" si="0"/>
        <v>9.6470157561201836E-2</v>
      </c>
      <c r="C28" s="3">
        <f t="shared" si="0"/>
        <v>7.1993787746709642E-2</v>
      </c>
      <c r="D28" s="3">
        <f t="shared" si="0"/>
        <v>8.2353815776510048E-2</v>
      </c>
      <c r="E28" s="3">
        <f t="shared" si="0"/>
        <v>0.10631427955519329</v>
      </c>
      <c r="F28" s="3">
        <f t="shared" si="0"/>
        <v>9.9604325385048223E-2</v>
      </c>
    </row>
    <row r="29" spans="1:6" x14ac:dyDescent="0.25">
      <c r="A29">
        <v>20</v>
      </c>
      <c r="B29" s="3">
        <f t="shared" si="0"/>
        <v>0.10407602733039695</v>
      </c>
      <c r="C29" s="3">
        <f t="shared" si="0"/>
        <v>7.892530346574099E-2</v>
      </c>
      <c r="D29" s="3">
        <f t="shared" si="0"/>
        <v>8.7874359874480515E-2</v>
      </c>
      <c r="E29" s="3">
        <f t="shared" si="0"/>
        <v>0.11435936171094563</v>
      </c>
      <c r="F29" s="3">
        <f t="shared" si="0"/>
        <v>0.10723404992088219</v>
      </c>
    </row>
    <row r="30" spans="1:6" x14ac:dyDescent="0.25">
      <c r="A30">
        <v>21</v>
      </c>
      <c r="B30" s="3">
        <f t="shared" si="0"/>
        <v>0.11132971764926186</v>
      </c>
      <c r="C30" s="3">
        <f t="shared" si="0"/>
        <v>8.4779850610826005E-2</v>
      </c>
      <c r="D30" s="3">
        <f t="shared" si="0"/>
        <v>9.2864051626578056E-2</v>
      </c>
      <c r="E30" s="3">
        <f t="shared" si="0"/>
        <v>0.12175153809092196</v>
      </c>
      <c r="F30" s="3">
        <f t="shared" si="0"/>
        <v>0.11440777490347946</v>
      </c>
    </row>
    <row r="31" spans="1:6" x14ac:dyDescent="0.25">
      <c r="A31">
        <v>22</v>
      </c>
      <c r="B31" s="3">
        <f t="shared" si="0"/>
        <v>0.1179376824894619</v>
      </c>
      <c r="C31" s="3">
        <f t="shared" si="0"/>
        <v>8.910181614345189E-2</v>
      </c>
      <c r="D31" s="3">
        <f t="shared" si="0"/>
        <v>9.7062089143945304E-2</v>
      </c>
      <c r="E31" s="3">
        <f t="shared" si="0"/>
        <v>0.12811358229100644</v>
      </c>
      <c r="F31" s="3">
        <f t="shared" si="0"/>
        <v>0.12082249825727832</v>
      </c>
    </row>
    <row r="32" spans="1:6" x14ac:dyDescent="0.25">
      <c r="A32">
        <v>23</v>
      </c>
      <c r="B32" s="3">
        <f t="shared" si="0"/>
        <v>0.12349743538848135</v>
      </c>
      <c r="C32" s="3">
        <f t="shared" si="0"/>
        <v>9.138135588932958E-2</v>
      </c>
      <c r="D32" s="3">
        <f t="shared" si="0"/>
        <v>0.10013143846547239</v>
      </c>
      <c r="E32" s="3">
        <f t="shared" si="0"/>
        <v>0.13296183885466975</v>
      </c>
      <c r="F32" s="3">
        <f t="shared" si="0"/>
        <v>0.12608208854144631</v>
      </c>
    </row>
    <row r="33" spans="1:6" x14ac:dyDescent="0.25">
      <c r="A33">
        <v>24</v>
      </c>
      <c r="B33" s="3">
        <f t="shared" si="0"/>
        <v>0.12744984654698169</v>
      </c>
      <c r="C33" s="3">
        <f t="shared" si="0"/>
        <v>9.1231351176142103E-2</v>
      </c>
      <c r="D33" s="3">
        <f t="shared" si="0"/>
        <v>0.10163337468721011</v>
      </c>
      <c r="E33" s="3">
        <f t="shared" si="0"/>
        <v>0.13567742288350512</v>
      </c>
      <c r="F33" s="3">
        <f t="shared" si="0"/>
        <v>0.12966714042477751</v>
      </c>
    </row>
    <row r="34" spans="1:6" x14ac:dyDescent="0.25">
      <c r="A34">
        <v>25</v>
      </c>
      <c r="B34" s="3">
        <f t="shared" si="0"/>
        <v>0.129</v>
      </c>
      <c r="C34" s="3">
        <f t="shared" si="0"/>
        <v>8.8820771471400509E-2</v>
      </c>
      <c r="D34" s="3">
        <f t="shared" si="0"/>
        <v>0.10117280654334132</v>
      </c>
      <c r="E34" s="3">
        <f t="shared" si="0"/>
        <v>0.13557886496212992</v>
      </c>
      <c r="F34" s="3">
        <f t="shared" si="0"/>
        <v>0.1308930051258792</v>
      </c>
    </row>
    <row r="35" spans="1:6" x14ac:dyDescent="0.25">
      <c r="A35">
        <v>26</v>
      </c>
      <c r="B35" s="3">
        <f t="shared" si="0"/>
        <v>0.12740606659353565</v>
      </c>
      <c r="C35" s="3">
        <f t="shared" si="0"/>
        <v>8.3879501608929347E-2</v>
      </c>
      <c r="D35" s="3">
        <f t="shared" si="0"/>
        <v>9.852470629640496E-2</v>
      </c>
      <c r="E35" s="3">
        <f t="shared" si="0"/>
        <v>0.13229165209662969</v>
      </c>
      <c r="F35" s="3">
        <f t="shared" si="0"/>
        <v>0.12927276501951576</v>
      </c>
    </row>
    <row r="36" spans="1:6" x14ac:dyDescent="0.25">
      <c r="A36">
        <v>27</v>
      </c>
      <c r="B36" s="3">
        <f t="shared" si="0"/>
        <v>0.1215438749194505</v>
      </c>
      <c r="C36" s="3">
        <f t="shared" si="0"/>
        <v>7.6178882235256373E-2</v>
      </c>
      <c r="D36" s="3">
        <f t="shared" si="0"/>
        <v>9.2898306869378958E-2</v>
      </c>
      <c r="E36" s="3">
        <f t="shared" si="0"/>
        <v>0.1248294454189095</v>
      </c>
      <c r="F36" s="3">
        <f t="shared" si="0"/>
        <v>0.12406980522178306</v>
      </c>
    </row>
    <row r="37" spans="1:6" x14ac:dyDescent="0.25">
      <c r="A37">
        <v>28</v>
      </c>
      <c r="B37" s="3">
        <f t="shared" si="0"/>
        <v>0.10884191832966764</v>
      </c>
      <c r="C37" s="3">
        <f t="shared" si="0"/>
        <v>6.5686061947345095E-2</v>
      </c>
      <c r="D37" s="3">
        <f t="shared" si="0"/>
        <v>8.3093024907129734E-2</v>
      </c>
      <c r="E37" s="3">
        <f t="shared" si="0"/>
        <v>0.11178350979651205</v>
      </c>
      <c r="F37" s="3">
        <f t="shared" si="0"/>
        <v>0.11384329375001172</v>
      </c>
    </row>
    <row r="38" spans="1:6" x14ac:dyDescent="0.25">
      <c r="A38">
        <v>29</v>
      </c>
      <c r="B38" s="3">
        <f t="shared" si="0"/>
        <v>8.3510375531054268E-2</v>
      </c>
      <c r="C38" s="3">
        <f t="shared" si="0"/>
        <v>5.2685528811705733E-2</v>
      </c>
      <c r="D38" s="3">
        <f t="shared" si="0"/>
        <v>6.7102458469767215E-2</v>
      </c>
      <c r="E38" s="3">
        <f t="shared" si="0"/>
        <v>9.1174042719293927E-2</v>
      </c>
      <c r="F38" s="3">
        <f t="shared" si="0"/>
        <v>9.6329895411339919E-2</v>
      </c>
    </row>
    <row r="39" spans="1:6" x14ac:dyDescent="0.25">
      <c r="A39">
        <v>30</v>
      </c>
      <c r="B39" s="3">
        <f t="shared" si="0"/>
        <v>0</v>
      </c>
      <c r="C39" s="3">
        <f t="shared" si="0"/>
        <v>3.7935055311585121E-2</v>
      </c>
      <c r="D39" s="3">
        <f t="shared" si="0"/>
        <v>4.0508379273479181E-2</v>
      </c>
      <c r="E39" s="3">
        <f t="shared" si="0"/>
        <v>5.9865634861047408E-2</v>
      </c>
      <c r="F39" s="3">
        <f t="shared" si="0"/>
        <v>6.7247569884066966E-2</v>
      </c>
    </row>
    <row r="40" spans="1:6" x14ac:dyDescent="0.25">
      <c r="A40">
        <v>31</v>
      </c>
      <c r="B40" s="3">
        <f t="shared" si="0"/>
        <v>0</v>
      </c>
      <c r="C40" s="3">
        <f t="shared" si="0"/>
        <v>2.2847314500806532E-2</v>
      </c>
      <c r="D40" s="3">
        <f t="shared" si="0"/>
        <v>0</v>
      </c>
      <c r="E40" s="3">
        <f t="shared" si="0"/>
        <v>9.9396259065212527E-3</v>
      </c>
      <c r="F40" s="3">
        <f t="shared" si="0"/>
        <v>1.0128288177185503E-2</v>
      </c>
    </row>
    <row r="41" spans="1:6" x14ac:dyDescent="0.25">
      <c r="A41">
        <v>32</v>
      </c>
      <c r="B41" s="3">
        <f t="shared" si="0"/>
        <v>0</v>
      </c>
      <c r="C41" s="3">
        <f t="shared" si="0"/>
        <v>9.6543200906288335E-3</v>
      </c>
      <c r="D41" s="3">
        <f t="shared" si="0"/>
        <v>0</v>
      </c>
      <c r="E41" s="3">
        <f t="shared" si="0"/>
        <v>0</v>
      </c>
      <c r="F41" s="3">
        <f t="shared" si="0"/>
        <v>0</v>
      </c>
    </row>
    <row r="42" spans="1:6" x14ac:dyDescent="0.25">
      <c r="A42">
        <v>33</v>
      </c>
      <c r="B42" s="3">
        <f t="shared" si="0"/>
        <v>0</v>
      </c>
      <c r="C42" s="3">
        <f t="shared" si="0"/>
        <v>1.3834695165579136E-3</v>
      </c>
      <c r="D42" s="3">
        <f t="shared" si="0"/>
        <v>0</v>
      </c>
      <c r="E42" s="3">
        <f t="shared" si="0"/>
        <v>0</v>
      </c>
      <c r="F42" s="3">
        <f t="shared" si="0"/>
        <v>0</v>
      </c>
    </row>
    <row r="43" spans="1:6" x14ac:dyDescent="0.25">
      <c r="A43">
        <v>34</v>
      </c>
      <c r="B43" s="3">
        <f t="shared" si="0"/>
        <v>0</v>
      </c>
      <c r="C43" s="3">
        <f t="shared" si="0"/>
        <v>0</v>
      </c>
      <c r="D43" s="3">
        <f t="shared" si="0"/>
        <v>0</v>
      </c>
      <c r="E43" s="3">
        <f t="shared" si="0"/>
        <v>0</v>
      </c>
      <c r="F43" s="3">
        <f t="shared" si="0"/>
        <v>0</v>
      </c>
    </row>
    <row r="44" spans="1:6" x14ac:dyDescent="0.25">
      <c r="A44">
        <v>35</v>
      </c>
      <c r="B44" s="3">
        <f t="shared" si="0"/>
        <v>0</v>
      </c>
      <c r="C44" s="3">
        <f t="shared" si="0"/>
        <v>0</v>
      </c>
      <c r="D44" s="3">
        <f t="shared" si="0"/>
        <v>0</v>
      </c>
      <c r="E44" s="3">
        <f t="shared" si="0"/>
        <v>0</v>
      </c>
      <c r="F44" s="3">
        <f t="shared" si="0"/>
        <v>0</v>
      </c>
    </row>
    <row r="45" spans="1:6" x14ac:dyDescent="0.25">
      <c r="A45">
        <v>36</v>
      </c>
      <c r="B45" s="3">
        <f t="shared" si="0"/>
        <v>0</v>
      </c>
      <c r="C45" s="3">
        <f t="shared" si="0"/>
        <v>0</v>
      </c>
      <c r="D45" s="3">
        <f t="shared" si="0"/>
        <v>0</v>
      </c>
      <c r="E45" s="3">
        <f t="shared" si="0"/>
        <v>0</v>
      </c>
      <c r="F45" s="3">
        <f t="shared" si="0"/>
        <v>0</v>
      </c>
    </row>
    <row r="46" spans="1:6" x14ac:dyDescent="0.25">
      <c r="A46">
        <v>37</v>
      </c>
      <c r="B46" s="3">
        <f t="shared" si="0"/>
        <v>0</v>
      </c>
      <c r="C46" s="3">
        <f t="shared" si="0"/>
        <v>0</v>
      </c>
      <c r="D46" s="3">
        <f t="shared" si="0"/>
        <v>0</v>
      </c>
      <c r="E46" s="3">
        <f t="shared" si="0"/>
        <v>0</v>
      </c>
      <c r="F46" s="3">
        <f t="shared" si="0"/>
        <v>0</v>
      </c>
    </row>
    <row r="47" spans="1:6" x14ac:dyDescent="0.25">
      <c r="A47">
        <v>38</v>
      </c>
      <c r="B47" s="3">
        <f t="shared" si="0"/>
        <v>0</v>
      </c>
      <c r="C47" s="3">
        <f t="shared" si="0"/>
        <v>0</v>
      </c>
      <c r="D47" s="3">
        <f t="shared" si="0"/>
        <v>0</v>
      </c>
      <c r="E47" s="3">
        <f t="shared" si="0"/>
        <v>0</v>
      </c>
      <c r="F47" s="3">
        <f t="shared" si="0"/>
        <v>0</v>
      </c>
    </row>
    <row r="48" spans="1:6" x14ac:dyDescent="0.25">
      <c r="A48">
        <v>39</v>
      </c>
      <c r="B48" s="3">
        <f t="shared" si="0"/>
        <v>0</v>
      </c>
      <c r="C48" s="3">
        <f t="shared" si="0"/>
        <v>0</v>
      </c>
      <c r="D48" s="3">
        <f t="shared" si="0"/>
        <v>0</v>
      </c>
      <c r="E48" s="3">
        <f t="shared" si="0"/>
        <v>0</v>
      </c>
      <c r="F48" s="3">
        <f t="shared" si="0"/>
        <v>0</v>
      </c>
    </row>
    <row r="49" spans="1:6" x14ac:dyDescent="0.25">
      <c r="A49">
        <v>40</v>
      </c>
      <c r="B49" s="3">
        <f t="shared" si="0"/>
        <v>0</v>
      </c>
      <c r="C49" s="3">
        <f t="shared" si="0"/>
        <v>0</v>
      </c>
      <c r="D49" s="3">
        <f t="shared" si="0"/>
        <v>0</v>
      </c>
      <c r="E49" s="3">
        <f t="shared" si="0"/>
        <v>0</v>
      </c>
      <c r="F49" s="3">
        <f t="shared" si="0"/>
        <v>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transition</vt:lpstr>
      <vt:lpstr>ästivation</vt:lpstr>
      <vt:lpstr>Entwicklungsfunktionen</vt:lpstr>
      <vt:lpstr>Fertilität</vt:lpstr>
      <vt:lpstr>spielkram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Gebelein, Dieter</dc:creator>
  <cp:lastModifiedBy>Gebelein, Dieter</cp:lastModifiedBy>
  <dcterms:created xsi:type="dcterms:W3CDTF">2018-11-15T07:35:07Z</dcterms:created>
  <dcterms:modified xsi:type="dcterms:W3CDTF">2019-04-30T09:56:43Z</dcterms:modified>
</cp:coreProperties>
</file>